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3.  STRETEGIC INITIATIVE TIA\verita\"/>
    </mc:Choice>
  </mc:AlternateContent>
  <xr:revisionPtr revIDLastSave="0" documentId="8_{9BEA639E-4FDF-492B-A272-C079B4F036C6}" xr6:coauthVersionLast="47" xr6:coauthVersionMax="47" xr10:uidLastSave="{00000000-0000-0000-0000-000000000000}"/>
  <bookViews>
    <workbookView xWindow="-120" yWindow="-120" windowWidth="20730" windowHeight="11160" xr2:uid="{2203440A-DB2C-40E2-8A55-9C65DF4F3F03}"/>
  </bookViews>
  <sheets>
    <sheet name="CK - BI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DAT1">'[1]List Karyawan PTTU'!#REF!</definedName>
    <definedName name="____DAT11">'[1]List Karyawan PTTU'!#REF!</definedName>
    <definedName name="____DAT119">'[1]List Karyawan PTTU'!#REF!</definedName>
    <definedName name="____DAT13">'[1]List Karyawan PTTU'!#REF!</definedName>
    <definedName name="____DAT14">'[1]List Karyawan PTTU'!#REF!</definedName>
    <definedName name="____DAT16">'[1]List Karyawan PTTU'!#REF!</definedName>
    <definedName name="____DAT18">'[1]List Karyawan PTTU'!#REF!</definedName>
    <definedName name="____DAT19">'[1]List Karyawan PTTU'!#REF!</definedName>
    <definedName name="____DAT2">'[1]List Karyawan PTTU'!#REF!</definedName>
    <definedName name="____DAT20">'[1]List Karyawan PTTU'!#REF!</definedName>
    <definedName name="____DAT23">'[1]List Karyawan PTTU'!#REF!</definedName>
    <definedName name="____Dat35">'[1]List Karyawan PTTU'!#REF!</definedName>
    <definedName name="____DAT4">'[1]List Karyawan PTTU'!#REF!</definedName>
    <definedName name="___DAT1">'[1]List Karyawan PTTU'!#REF!</definedName>
    <definedName name="___DAT11">'[1]List Karyawan PTTU'!#REF!</definedName>
    <definedName name="___DAT119">'[1]List Karyawan PTTU'!#REF!</definedName>
    <definedName name="___DAT13">'[1]List Karyawan PTTU'!#REF!</definedName>
    <definedName name="___DAT14">'[1]List Karyawan PTTU'!#REF!</definedName>
    <definedName name="___DAT16">'[1]List Karyawan PTTU'!#REF!</definedName>
    <definedName name="___DAT18">'[1]List Karyawan PTTU'!#REF!</definedName>
    <definedName name="___DAT19">'[1]List Karyawan PTTU'!#REF!</definedName>
    <definedName name="___DAT2">'[1]List Karyawan PTTU'!#REF!</definedName>
    <definedName name="___DAT20">'[1]List Karyawan PTTU'!#REF!</definedName>
    <definedName name="___DAT23">'[1]List Karyawan PTTU'!#REF!</definedName>
    <definedName name="___Dat35">'[1]List Karyawan PTTU'!#REF!</definedName>
    <definedName name="___DAT4">'[1]List Karyawan PTTU'!#REF!</definedName>
    <definedName name="__DAT1">'[1]List Karyawan PTTU'!#REF!</definedName>
    <definedName name="__DAT11">'[1]List Karyawan PTTU'!#REF!</definedName>
    <definedName name="__DAT119">'[1]List Karyawan PTTU'!#REF!</definedName>
    <definedName name="__DAT13">'[1]List Karyawan PTTU'!#REF!</definedName>
    <definedName name="__DAT14">'[1]List Karyawan PTTU'!#REF!</definedName>
    <definedName name="__DAT16">'[1]List Karyawan PTTU'!#REF!</definedName>
    <definedName name="__DAT18">'[1]List Karyawan PTTU'!#REF!</definedName>
    <definedName name="__DAT19">'[1]List Karyawan PTTU'!#REF!</definedName>
    <definedName name="__DAT2">'[1]List Karyawan PTTU'!#REF!</definedName>
    <definedName name="__DAT20">'[1]List Karyawan PTTU'!#REF!</definedName>
    <definedName name="__DAT23">'[1]List Karyawan PTTU'!#REF!</definedName>
    <definedName name="__Dat35">'[1]List Karyawan PTTU'!#REF!</definedName>
    <definedName name="__DAT4">'[1]List Karyawan PTTU'!#REF!</definedName>
    <definedName name="__key1" hidden="1">#REF!</definedName>
    <definedName name="_DAT1">'[1]List Karyawan PTTU'!#REF!</definedName>
    <definedName name="_DAT11">'[1]List Karyawan PTTU'!#REF!</definedName>
    <definedName name="_DAT119">'[1]List Karyawan PTTU'!#REF!</definedName>
    <definedName name="_DAT13">'[1]List Karyawan PTTU'!#REF!</definedName>
    <definedName name="_DAT14">'[1]List Karyawan PTTU'!#REF!</definedName>
    <definedName name="_DAT16">'[1]List Karyawan PTTU'!#REF!</definedName>
    <definedName name="_DAT18">'[1]List Karyawan PTTU'!#REF!</definedName>
    <definedName name="_DAT19">'[1]List Karyawan PTTU'!#REF!</definedName>
    <definedName name="_DAT2">'[1]List Karyawan PTTU'!#REF!</definedName>
    <definedName name="_DAT20">'[1]List Karyawan PTTU'!#REF!</definedName>
    <definedName name="_DAT23">'[1]List Karyawan PTTU'!#REF!</definedName>
    <definedName name="_Dat35">'[1]List Karyawan PTTU'!#REF!</definedName>
    <definedName name="_DAT4">'[1]List Karyawan PTTU'!#REF!</definedName>
    <definedName name="_xlnm._FilterDatabase" localSheetId="0" hidden="1">'CK - BIB'!$B$9:$R$287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SAP02">[2]SAPDb!$G$5:$I$395</definedName>
    <definedName name="_SAP03">[2]SAPDb!$J$5:$L$395</definedName>
    <definedName name="_SAP04">[2]SAPDb!$M$5:$O$345</definedName>
    <definedName name="_SAP05">[2]SAPDb!$P$5:$R$345</definedName>
    <definedName name="_SAP06">[2]SAPDb!$S$5:$U$345</definedName>
    <definedName name="_SAP07">[2]SAPDb!$V$5:$X$243</definedName>
    <definedName name="_SAP08">[2]SAPDb!$Y$5:$AA$345</definedName>
    <definedName name="_SAP09">[2]SAPDb!$AB$5:$AD$345</definedName>
    <definedName name="_SAP10">[2]SAPDb!$AE$5:$AG$345</definedName>
    <definedName name="_SAP11">[2]SAPDb!$AH$5:$AJ$345</definedName>
    <definedName name="_SAP12">[2]SAPDb!$AK$5:$AM$345</definedName>
    <definedName name="_Sort" hidden="1">#REF!</definedName>
    <definedName name="AA">#REF!</definedName>
    <definedName name="aaaa">[3]GRAFIK!#REF!</definedName>
    <definedName name="AB">#REF!</definedName>
    <definedName name="ABC">#REF!</definedName>
    <definedName name="All_Graphs">#REF!</definedName>
    <definedName name="as">[4]Sheet1!$B$4:$B$48</definedName>
    <definedName name="avg">#REF!</definedName>
    <definedName name="basic">#REF!</definedName>
    <definedName name="BMK">#REF!</definedName>
    <definedName name="bonus">[5]Bonus!$A$14:$C$94</definedName>
    <definedName name="CD">[3]GRAFIK!#REF!</definedName>
    <definedName name="CompDesc">'[6]Component Details'!$A$293:$A$561</definedName>
    <definedName name="COST">#REF!</definedName>
    <definedName name="Crane">#REF!</definedName>
    <definedName name="d">'[7]23 Day'!$C$11:$J$333</definedName>
    <definedName name="da">[8]Sheet1!$B$4:$B$48</definedName>
    <definedName name="DAT">'[1]List Karyawan PTTU'!#REF!</definedName>
    <definedName name="_xlnm.Database">#REF!</definedName>
    <definedName name="databulan">[9]Summary_Monthly!$Y$10:$Z$225</definedName>
    <definedName name="DD">'[1]List Karyawan PTTU'!#REF!</definedName>
    <definedName name="DEP">#REF!</definedName>
    <definedName name="e">'[7]23 Night'!$C$11:$J$310</definedName>
    <definedName name="f">'[10]24 Day'!$AM$10:$AO$283</definedName>
    <definedName name="finish">#REF!</definedName>
    <definedName name="Gantt">IF(AND([11]Summary!$Q1&gt;=[11]Summary!A$6,[11]Summary!$Q1&lt;[11]Summary!B$6,[11]Summary!$H1=""),1,IF(AND([11]Summary!$Q1&gt;=[11]Summary!A$6,[11]Summary!$Q1&lt;[11]Summary!B$6,[11]Summary!$H1="Allocated"),"A",IF(AND([11]Summary!$Q1&gt;=[11]Summary!A$6,[11]Summary!$Q1&lt;[11]Summary!B$6,[11]Summary!$H1="Supplied"),"S","")))</definedName>
    <definedName name="GHIFAR">[3]GRAFIK!#REF!</definedName>
    <definedName name="H">'[1]List Karyawan PTTU'!#REF!</definedName>
    <definedName name="hari">#REF!</definedName>
    <definedName name="Inspeksi">#REF!</definedName>
    <definedName name="jir">'[12]COAC PROJECT'!$C$81:$C$129</definedName>
    <definedName name="LEVEL">#REF!</definedName>
    <definedName name="mast">#REF!</definedName>
    <definedName name="master">#REF!</definedName>
    <definedName name="mySearchString">[13]HOME!$R$5</definedName>
    <definedName name="Nama">#REF!</definedName>
    <definedName name="name">#REF!</definedName>
    <definedName name="new">[14]Master!$B$8:$N$54</definedName>
    <definedName name="nme">[14]Master!$B$8:$B$198</definedName>
    <definedName name="OK">#REF!</definedName>
    <definedName name="oke">[14]Master!$B$8:$N$198</definedName>
    <definedName name="Operator">'[15]MARET 05'!$C$7:$C$3821</definedName>
    <definedName name="OPR">#REF!</definedName>
    <definedName name="P_All_Graphs">#REF!</definedName>
    <definedName name="P_Graphs_Unscheduled">#REF!</definedName>
    <definedName name="PILIH">#REF!</definedName>
    <definedName name="pILIHAN">#REF!</definedName>
    <definedName name="_xlnm.Print_Area" localSheetId="0">'CK - BIB'!$B$1:$Q$11</definedName>
    <definedName name="Rate">#REF!</definedName>
    <definedName name="rev">[5]Bonus!#REF!</definedName>
    <definedName name="SAP00">[2]SAPDb!$A$5:$C$317</definedName>
    <definedName name="sep">#REF!</definedName>
    <definedName name="STATUS">#REF!</definedName>
    <definedName name="Subtotal">SUBTOTAL(2,[11]Summary!A5:A7997)</definedName>
    <definedName name="SumMonth">[11]Summary!A2+[11]Summary!B2+[11]Summary!C2+[11]Summary!D2</definedName>
    <definedName name="TESTHKEY">'[1]List Karyawan PTTU'!#REF!</definedName>
    <definedName name="TESTVKEY">'[1]List Karyawan PTTU'!#REF!</definedName>
    <definedName name="todayku">#REF!</definedName>
    <definedName name="us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87" i="1" l="1"/>
  <c r="N287" i="1" s="1"/>
  <c r="R287" i="1" s="1"/>
  <c r="G287" i="1"/>
  <c r="B287" i="1"/>
  <c r="M286" i="1"/>
  <c r="N286" i="1" s="1"/>
  <c r="R286" i="1" s="1"/>
  <c r="B286" i="1"/>
  <c r="M285" i="1"/>
  <c r="N285" i="1" s="1"/>
  <c r="R285" i="1" s="1"/>
  <c r="B285" i="1"/>
  <c r="M284" i="1"/>
  <c r="N284" i="1" s="1"/>
  <c r="R284" i="1" s="1"/>
  <c r="B284" i="1"/>
  <c r="M283" i="1"/>
  <c r="N283" i="1" s="1"/>
  <c r="R283" i="1" s="1"/>
  <c r="B283" i="1"/>
  <c r="M282" i="1"/>
  <c r="N282" i="1" s="1"/>
  <c r="R282" i="1" s="1"/>
  <c r="B282" i="1"/>
  <c r="M281" i="1"/>
  <c r="N281" i="1" s="1"/>
  <c r="R281" i="1" s="1"/>
  <c r="B281" i="1"/>
  <c r="M280" i="1"/>
  <c r="N280" i="1" s="1"/>
  <c r="R280" i="1" s="1"/>
  <c r="B280" i="1"/>
  <c r="M279" i="1"/>
  <c r="N279" i="1" s="1"/>
  <c r="R279" i="1" s="1"/>
  <c r="B279" i="1"/>
  <c r="M278" i="1"/>
  <c r="N278" i="1" s="1"/>
  <c r="R278" i="1" s="1"/>
  <c r="B278" i="1"/>
  <c r="M277" i="1"/>
  <c r="N277" i="1" s="1"/>
  <c r="R277" i="1" s="1"/>
  <c r="B277" i="1"/>
  <c r="M276" i="1"/>
  <c r="N276" i="1" s="1"/>
  <c r="R276" i="1" s="1"/>
  <c r="B276" i="1"/>
  <c r="M275" i="1"/>
  <c r="N275" i="1" s="1"/>
  <c r="R275" i="1" s="1"/>
  <c r="B275" i="1"/>
  <c r="M274" i="1"/>
  <c r="N274" i="1" s="1"/>
  <c r="R274" i="1" s="1"/>
  <c r="B274" i="1"/>
  <c r="M273" i="1"/>
  <c r="N273" i="1" s="1"/>
  <c r="R273" i="1" s="1"/>
  <c r="B273" i="1"/>
  <c r="M272" i="1"/>
  <c r="N272" i="1" s="1"/>
  <c r="R272" i="1" s="1"/>
  <c r="B272" i="1"/>
  <c r="M271" i="1"/>
  <c r="N271" i="1" s="1"/>
  <c r="R271" i="1" s="1"/>
  <c r="B271" i="1"/>
  <c r="M270" i="1"/>
  <c r="N270" i="1" s="1"/>
  <c r="R270" i="1" s="1"/>
  <c r="B270" i="1"/>
  <c r="M269" i="1"/>
  <c r="N269" i="1" s="1"/>
  <c r="R269" i="1" s="1"/>
  <c r="B269" i="1"/>
  <c r="M268" i="1"/>
  <c r="N268" i="1" s="1"/>
  <c r="R268" i="1" s="1"/>
  <c r="B268" i="1"/>
  <c r="M267" i="1"/>
  <c r="N267" i="1" s="1"/>
  <c r="R267" i="1" s="1"/>
  <c r="B267" i="1"/>
  <c r="M266" i="1"/>
  <c r="N266" i="1" s="1"/>
  <c r="R266" i="1" s="1"/>
  <c r="B266" i="1"/>
  <c r="M265" i="1"/>
  <c r="N265" i="1" s="1"/>
  <c r="R265" i="1" s="1"/>
  <c r="B265" i="1"/>
  <c r="M264" i="1"/>
  <c r="N264" i="1" s="1"/>
  <c r="R264" i="1" s="1"/>
  <c r="B264" i="1"/>
  <c r="M263" i="1"/>
  <c r="N263" i="1" s="1"/>
  <c r="R263" i="1" s="1"/>
  <c r="B263" i="1"/>
  <c r="M262" i="1"/>
  <c r="N262" i="1" s="1"/>
  <c r="R262" i="1" s="1"/>
  <c r="B262" i="1"/>
  <c r="M261" i="1"/>
  <c r="N261" i="1" s="1"/>
  <c r="R261" i="1" s="1"/>
  <c r="B261" i="1"/>
  <c r="M260" i="1"/>
  <c r="N260" i="1" s="1"/>
  <c r="R260" i="1" s="1"/>
  <c r="B260" i="1"/>
  <c r="M259" i="1"/>
  <c r="N259" i="1" s="1"/>
  <c r="R259" i="1" s="1"/>
  <c r="B259" i="1"/>
  <c r="M258" i="1"/>
  <c r="N258" i="1" s="1"/>
  <c r="R258" i="1" s="1"/>
  <c r="B258" i="1"/>
  <c r="M257" i="1"/>
  <c r="N257" i="1" s="1"/>
  <c r="R257" i="1" s="1"/>
  <c r="B257" i="1"/>
  <c r="M256" i="1"/>
  <c r="N256" i="1" s="1"/>
  <c r="R256" i="1" s="1"/>
  <c r="B256" i="1"/>
  <c r="M255" i="1"/>
  <c r="N255" i="1" s="1"/>
  <c r="R255" i="1" s="1"/>
  <c r="B255" i="1"/>
  <c r="M254" i="1"/>
  <c r="N254" i="1" s="1"/>
  <c r="R254" i="1" s="1"/>
  <c r="B254" i="1"/>
  <c r="M253" i="1"/>
  <c r="N253" i="1" s="1"/>
  <c r="R253" i="1" s="1"/>
  <c r="B253" i="1"/>
  <c r="M252" i="1"/>
  <c r="N252" i="1" s="1"/>
  <c r="R252" i="1" s="1"/>
  <c r="B252" i="1"/>
  <c r="M251" i="1"/>
  <c r="N251" i="1" s="1"/>
  <c r="R251" i="1" s="1"/>
  <c r="B251" i="1"/>
  <c r="M250" i="1"/>
  <c r="N250" i="1" s="1"/>
  <c r="R250" i="1" s="1"/>
  <c r="B250" i="1"/>
  <c r="M249" i="1"/>
  <c r="N249" i="1" s="1"/>
  <c r="R249" i="1" s="1"/>
  <c r="B249" i="1"/>
  <c r="M248" i="1"/>
  <c r="N248" i="1" s="1"/>
  <c r="R248" i="1" s="1"/>
  <c r="B248" i="1"/>
  <c r="M247" i="1"/>
  <c r="N247" i="1" s="1"/>
  <c r="R247" i="1" s="1"/>
  <c r="B247" i="1"/>
  <c r="M246" i="1"/>
  <c r="N246" i="1" s="1"/>
  <c r="R246" i="1" s="1"/>
  <c r="B246" i="1"/>
  <c r="M245" i="1"/>
  <c r="N245" i="1" s="1"/>
  <c r="R245" i="1" s="1"/>
  <c r="B245" i="1"/>
  <c r="M244" i="1"/>
  <c r="N244" i="1" s="1"/>
  <c r="R244" i="1" s="1"/>
  <c r="B244" i="1"/>
  <c r="M243" i="1"/>
  <c r="N243" i="1" s="1"/>
  <c r="R243" i="1" s="1"/>
  <c r="B243" i="1"/>
  <c r="M242" i="1"/>
  <c r="N242" i="1" s="1"/>
  <c r="R242" i="1" s="1"/>
  <c r="B242" i="1"/>
  <c r="M241" i="1"/>
  <c r="N241" i="1" s="1"/>
  <c r="R241" i="1" s="1"/>
  <c r="B241" i="1"/>
  <c r="M240" i="1"/>
  <c r="N240" i="1" s="1"/>
  <c r="R240" i="1" s="1"/>
  <c r="B240" i="1"/>
  <c r="M239" i="1"/>
  <c r="N239" i="1" s="1"/>
  <c r="R239" i="1" s="1"/>
  <c r="B239" i="1"/>
  <c r="M238" i="1"/>
  <c r="N238" i="1" s="1"/>
  <c r="R238" i="1" s="1"/>
  <c r="B238" i="1"/>
  <c r="M237" i="1"/>
  <c r="N237" i="1" s="1"/>
  <c r="R237" i="1" s="1"/>
  <c r="B237" i="1"/>
  <c r="M236" i="1"/>
  <c r="N236" i="1" s="1"/>
  <c r="R236" i="1" s="1"/>
  <c r="B236" i="1"/>
  <c r="M235" i="1"/>
  <c r="N235" i="1" s="1"/>
  <c r="R235" i="1" s="1"/>
  <c r="B235" i="1"/>
  <c r="M234" i="1"/>
  <c r="N234" i="1" s="1"/>
  <c r="R234" i="1" s="1"/>
  <c r="B234" i="1"/>
  <c r="M233" i="1"/>
  <c r="N233" i="1" s="1"/>
  <c r="R233" i="1" s="1"/>
  <c r="B233" i="1"/>
  <c r="M232" i="1"/>
  <c r="N232" i="1" s="1"/>
  <c r="R232" i="1" s="1"/>
  <c r="B232" i="1"/>
  <c r="M231" i="1"/>
  <c r="N231" i="1" s="1"/>
  <c r="R231" i="1" s="1"/>
  <c r="B231" i="1"/>
  <c r="M230" i="1"/>
  <c r="N230" i="1" s="1"/>
  <c r="R230" i="1" s="1"/>
  <c r="B230" i="1"/>
  <c r="M229" i="1"/>
  <c r="N229" i="1" s="1"/>
  <c r="R229" i="1" s="1"/>
  <c r="B229" i="1"/>
  <c r="M228" i="1"/>
  <c r="N228" i="1" s="1"/>
  <c r="R228" i="1" s="1"/>
  <c r="B228" i="1"/>
  <c r="M227" i="1"/>
  <c r="N227" i="1" s="1"/>
  <c r="R227" i="1" s="1"/>
  <c r="B227" i="1"/>
  <c r="M226" i="1"/>
  <c r="N226" i="1" s="1"/>
  <c r="R226" i="1" s="1"/>
  <c r="B226" i="1"/>
  <c r="M225" i="1"/>
  <c r="N225" i="1" s="1"/>
  <c r="R225" i="1" s="1"/>
  <c r="B225" i="1"/>
  <c r="M224" i="1"/>
  <c r="N224" i="1" s="1"/>
  <c r="R224" i="1" s="1"/>
  <c r="B224" i="1"/>
  <c r="M223" i="1"/>
  <c r="N223" i="1" s="1"/>
  <c r="R223" i="1" s="1"/>
  <c r="B223" i="1"/>
  <c r="M222" i="1"/>
  <c r="N222" i="1" s="1"/>
  <c r="R222" i="1" s="1"/>
  <c r="B222" i="1"/>
  <c r="M221" i="1"/>
  <c r="N221" i="1" s="1"/>
  <c r="R221" i="1" s="1"/>
  <c r="B221" i="1"/>
  <c r="M220" i="1"/>
  <c r="N220" i="1" s="1"/>
  <c r="R220" i="1" s="1"/>
  <c r="B220" i="1"/>
  <c r="M219" i="1"/>
  <c r="N219" i="1" s="1"/>
  <c r="R219" i="1" s="1"/>
  <c r="B219" i="1"/>
  <c r="M218" i="1"/>
  <c r="N218" i="1" s="1"/>
  <c r="R218" i="1" s="1"/>
  <c r="B218" i="1"/>
  <c r="M217" i="1"/>
  <c r="N217" i="1" s="1"/>
  <c r="R217" i="1" s="1"/>
  <c r="B217" i="1"/>
  <c r="M216" i="1"/>
  <c r="N216" i="1" s="1"/>
  <c r="R216" i="1" s="1"/>
  <c r="B216" i="1"/>
  <c r="M215" i="1"/>
  <c r="N215" i="1" s="1"/>
  <c r="R215" i="1" s="1"/>
  <c r="B215" i="1"/>
  <c r="M214" i="1"/>
  <c r="N214" i="1" s="1"/>
  <c r="R214" i="1" s="1"/>
  <c r="B214" i="1"/>
  <c r="M213" i="1"/>
  <c r="N213" i="1" s="1"/>
  <c r="R213" i="1" s="1"/>
  <c r="B213" i="1"/>
  <c r="M212" i="1"/>
  <c r="N212" i="1" s="1"/>
  <c r="R212" i="1" s="1"/>
  <c r="B212" i="1"/>
  <c r="M211" i="1"/>
  <c r="N211" i="1" s="1"/>
  <c r="R211" i="1" s="1"/>
  <c r="B211" i="1"/>
  <c r="M210" i="1"/>
  <c r="N210" i="1" s="1"/>
  <c r="R210" i="1" s="1"/>
  <c r="B210" i="1"/>
  <c r="M209" i="1"/>
  <c r="N209" i="1" s="1"/>
  <c r="R209" i="1" s="1"/>
  <c r="B209" i="1"/>
  <c r="M208" i="1"/>
  <c r="N208" i="1" s="1"/>
  <c r="R208" i="1" s="1"/>
  <c r="B208" i="1"/>
  <c r="M207" i="1"/>
  <c r="N207" i="1" s="1"/>
  <c r="R207" i="1" s="1"/>
  <c r="B207" i="1"/>
  <c r="M206" i="1"/>
  <c r="N206" i="1" s="1"/>
  <c r="R206" i="1" s="1"/>
  <c r="B206" i="1"/>
  <c r="M205" i="1"/>
  <c r="N205" i="1" s="1"/>
  <c r="R205" i="1" s="1"/>
  <c r="B205" i="1"/>
  <c r="M204" i="1"/>
  <c r="N204" i="1" s="1"/>
  <c r="R204" i="1" s="1"/>
  <c r="B204" i="1"/>
  <c r="M203" i="1"/>
  <c r="N203" i="1" s="1"/>
  <c r="R203" i="1" s="1"/>
  <c r="B203" i="1"/>
  <c r="M202" i="1"/>
  <c r="N202" i="1" s="1"/>
  <c r="R202" i="1" s="1"/>
  <c r="B202" i="1"/>
  <c r="M201" i="1"/>
  <c r="N201" i="1" s="1"/>
  <c r="R201" i="1" s="1"/>
  <c r="B201" i="1"/>
  <c r="M200" i="1"/>
  <c r="N200" i="1" s="1"/>
  <c r="R200" i="1" s="1"/>
  <c r="B200" i="1"/>
  <c r="M199" i="1"/>
  <c r="N199" i="1" s="1"/>
  <c r="R199" i="1" s="1"/>
  <c r="B199" i="1"/>
  <c r="M198" i="1"/>
  <c r="N198" i="1" s="1"/>
  <c r="R198" i="1" s="1"/>
  <c r="B198" i="1"/>
  <c r="M197" i="1"/>
  <c r="N197" i="1" s="1"/>
  <c r="R197" i="1" s="1"/>
  <c r="B197" i="1"/>
  <c r="M196" i="1"/>
  <c r="N196" i="1" s="1"/>
  <c r="R196" i="1" s="1"/>
  <c r="B196" i="1"/>
  <c r="M195" i="1"/>
  <c r="N195" i="1" s="1"/>
  <c r="R195" i="1" s="1"/>
  <c r="B195" i="1"/>
  <c r="M194" i="1"/>
  <c r="N194" i="1" s="1"/>
  <c r="R194" i="1" s="1"/>
  <c r="B194" i="1"/>
  <c r="M193" i="1"/>
  <c r="N193" i="1" s="1"/>
  <c r="R193" i="1" s="1"/>
  <c r="B193" i="1"/>
  <c r="M192" i="1"/>
  <c r="N192" i="1" s="1"/>
  <c r="R192" i="1" s="1"/>
  <c r="B192" i="1"/>
  <c r="M191" i="1"/>
  <c r="N191" i="1" s="1"/>
  <c r="R191" i="1" s="1"/>
  <c r="B191" i="1"/>
  <c r="M190" i="1"/>
  <c r="N190" i="1" s="1"/>
  <c r="R190" i="1" s="1"/>
  <c r="B190" i="1"/>
  <c r="M189" i="1"/>
  <c r="N189" i="1" s="1"/>
  <c r="R189" i="1" s="1"/>
  <c r="B189" i="1"/>
  <c r="M188" i="1"/>
  <c r="N188" i="1" s="1"/>
  <c r="R188" i="1" s="1"/>
  <c r="B188" i="1"/>
  <c r="M187" i="1"/>
  <c r="N187" i="1" s="1"/>
  <c r="R187" i="1" s="1"/>
  <c r="B187" i="1"/>
  <c r="M186" i="1"/>
  <c r="N186" i="1" s="1"/>
  <c r="R186" i="1" s="1"/>
  <c r="B186" i="1"/>
  <c r="M185" i="1"/>
  <c r="N185" i="1" s="1"/>
  <c r="R185" i="1" s="1"/>
  <c r="B185" i="1"/>
  <c r="M184" i="1"/>
  <c r="N184" i="1" s="1"/>
  <c r="R184" i="1" s="1"/>
  <c r="B184" i="1"/>
  <c r="M183" i="1"/>
  <c r="N183" i="1" s="1"/>
  <c r="R183" i="1" s="1"/>
  <c r="B183" i="1"/>
  <c r="M182" i="1"/>
  <c r="N182" i="1" s="1"/>
  <c r="R182" i="1" s="1"/>
  <c r="B182" i="1"/>
  <c r="M181" i="1"/>
  <c r="N181" i="1" s="1"/>
  <c r="R181" i="1" s="1"/>
  <c r="B181" i="1"/>
  <c r="M180" i="1"/>
  <c r="N180" i="1" s="1"/>
  <c r="R180" i="1" s="1"/>
  <c r="B180" i="1"/>
  <c r="M179" i="1"/>
  <c r="N179" i="1" s="1"/>
  <c r="R179" i="1" s="1"/>
  <c r="B179" i="1"/>
  <c r="M178" i="1"/>
  <c r="N178" i="1" s="1"/>
  <c r="R178" i="1" s="1"/>
  <c r="B178" i="1"/>
  <c r="M177" i="1"/>
  <c r="N177" i="1" s="1"/>
  <c r="R177" i="1" s="1"/>
  <c r="B177" i="1"/>
  <c r="M176" i="1"/>
  <c r="N176" i="1" s="1"/>
  <c r="R176" i="1" s="1"/>
  <c r="B176" i="1"/>
  <c r="M175" i="1"/>
  <c r="N175" i="1" s="1"/>
  <c r="R175" i="1" s="1"/>
  <c r="B175" i="1"/>
  <c r="M174" i="1"/>
  <c r="N174" i="1" s="1"/>
  <c r="R174" i="1" s="1"/>
  <c r="B174" i="1"/>
  <c r="M173" i="1"/>
  <c r="N173" i="1" s="1"/>
  <c r="R173" i="1" s="1"/>
  <c r="B173" i="1"/>
  <c r="M172" i="1"/>
  <c r="N172" i="1" s="1"/>
  <c r="R172" i="1" s="1"/>
  <c r="B172" i="1"/>
  <c r="M171" i="1"/>
  <c r="N171" i="1" s="1"/>
  <c r="R171" i="1" s="1"/>
  <c r="B171" i="1"/>
  <c r="M170" i="1"/>
  <c r="N170" i="1" s="1"/>
  <c r="R170" i="1" s="1"/>
  <c r="B170" i="1"/>
  <c r="M169" i="1"/>
  <c r="N169" i="1" s="1"/>
  <c r="R169" i="1" s="1"/>
  <c r="B169" i="1"/>
  <c r="M168" i="1"/>
  <c r="N168" i="1" s="1"/>
  <c r="R168" i="1" s="1"/>
  <c r="B168" i="1"/>
  <c r="M167" i="1"/>
  <c r="N167" i="1" s="1"/>
  <c r="R167" i="1" s="1"/>
  <c r="B167" i="1"/>
  <c r="M166" i="1"/>
  <c r="N166" i="1" s="1"/>
  <c r="R166" i="1" s="1"/>
  <c r="B166" i="1"/>
  <c r="M165" i="1"/>
  <c r="N165" i="1" s="1"/>
  <c r="R165" i="1" s="1"/>
  <c r="B165" i="1"/>
  <c r="M164" i="1"/>
  <c r="N164" i="1" s="1"/>
  <c r="R164" i="1" s="1"/>
  <c r="B164" i="1"/>
  <c r="M163" i="1"/>
  <c r="N163" i="1" s="1"/>
  <c r="R163" i="1" s="1"/>
  <c r="B163" i="1"/>
  <c r="M162" i="1"/>
  <c r="N162" i="1" s="1"/>
  <c r="R162" i="1" s="1"/>
  <c r="B162" i="1"/>
  <c r="M161" i="1"/>
  <c r="N161" i="1" s="1"/>
  <c r="R161" i="1" s="1"/>
  <c r="B161" i="1"/>
  <c r="M160" i="1"/>
  <c r="N160" i="1" s="1"/>
  <c r="R160" i="1" s="1"/>
  <c r="B160" i="1"/>
  <c r="M159" i="1"/>
  <c r="N159" i="1" s="1"/>
  <c r="R159" i="1" s="1"/>
  <c r="B159" i="1"/>
  <c r="M158" i="1"/>
  <c r="N158" i="1" s="1"/>
  <c r="R158" i="1" s="1"/>
  <c r="B158" i="1"/>
  <c r="M157" i="1"/>
  <c r="N157" i="1" s="1"/>
  <c r="R157" i="1" s="1"/>
  <c r="B157" i="1"/>
  <c r="M156" i="1"/>
  <c r="N156" i="1" s="1"/>
  <c r="R156" i="1" s="1"/>
  <c r="B156" i="1"/>
  <c r="M155" i="1"/>
  <c r="N155" i="1" s="1"/>
  <c r="R155" i="1" s="1"/>
  <c r="B155" i="1"/>
  <c r="M154" i="1"/>
  <c r="N154" i="1" s="1"/>
  <c r="R154" i="1" s="1"/>
  <c r="B154" i="1"/>
  <c r="M153" i="1"/>
  <c r="N153" i="1" s="1"/>
  <c r="R153" i="1" s="1"/>
  <c r="B153" i="1"/>
  <c r="M152" i="1"/>
  <c r="N152" i="1" s="1"/>
  <c r="R152" i="1" s="1"/>
  <c r="B152" i="1"/>
  <c r="M151" i="1"/>
  <c r="N151" i="1" s="1"/>
  <c r="R151" i="1" s="1"/>
  <c r="B151" i="1"/>
  <c r="M150" i="1"/>
  <c r="N150" i="1" s="1"/>
  <c r="R150" i="1" s="1"/>
  <c r="B150" i="1"/>
  <c r="M149" i="1"/>
  <c r="N149" i="1" s="1"/>
  <c r="R149" i="1" s="1"/>
  <c r="B149" i="1"/>
  <c r="M148" i="1"/>
  <c r="N148" i="1" s="1"/>
  <c r="R148" i="1" s="1"/>
  <c r="B148" i="1"/>
  <c r="M147" i="1"/>
  <c r="N147" i="1" s="1"/>
  <c r="R147" i="1" s="1"/>
  <c r="B147" i="1"/>
  <c r="M146" i="1"/>
  <c r="N146" i="1" s="1"/>
  <c r="R146" i="1" s="1"/>
  <c r="B146" i="1"/>
  <c r="M145" i="1"/>
  <c r="N145" i="1" s="1"/>
  <c r="R145" i="1" s="1"/>
  <c r="B145" i="1"/>
  <c r="M144" i="1"/>
  <c r="N144" i="1" s="1"/>
  <c r="R144" i="1" s="1"/>
  <c r="B144" i="1"/>
  <c r="M143" i="1"/>
  <c r="N143" i="1" s="1"/>
  <c r="R143" i="1" s="1"/>
  <c r="B143" i="1"/>
  <c r="M142" i="1"/>
  <c r="N142" i="1" s="1"/>
  <c r="R142" i="1" s="1"/>
  <c r="B142" i="1"/>
  <c r="M141" i="1"/>
  <c r="N141" i="1" s="1"/>
  <c r="R141" i="1" s="1"/>
  <c r="B141" i="1"/>
  <c r="M140" i="1"/>
  <c r="N140" i="1" s="1"/>
  <c r="R140" i="1" s="1"/>
  <c r="B140" i="1"/>
  <c r="M139" i="1"/>
  <c r="N139" i="1" s="1"/>
  <c r="R139" i="1" s="1"/>
  <c r="B139" i="1"/>
  <c r="M138" i="1"/>
  <c r="N138" i="1" s="1"/>
  <c r="R138" i="1" s="1"/>
  <c r="B138" i="1"/>
  <c r="M137" i="1"/>
  <c r="N137" i="1" s="1"/>
  <c r="R137" i="1" s="1"/>
  <c r="B137" i="1"/>
  <c r="M136" i="1"/>
  <c r="N136" i="1" s="1"/>
  <c r="R136" i="1" s="1"/>
  <c r="B136" i="1"/>
  <c r="M135" i="1"/>
  <c r="N135" i="1" s="1"/>
  <c r="R135" i="1" s="1"/>
  <c r="B135" i="1"/>
  <c r="M134" i="1"/>
  <c r="N134" i="1" s="1"/>
  <c r="R134" i="1" s="1"/>
  <c r="B134" i="1"/>
  <c r="M133" i="1"/>
  <c r="N133" i="1" s="1"/>
  <c r="R133" i="1" s="1"/>
  <c r="B133" i="1"/>
  <c r="M132" i="1"/>
  <c r="N132" i="1" s="1"/>
  <c r="R132" i="1" s="1"/>
  <c r="B132" i="1"/>
  <c r="M131" i="1"/>
  <c r="N131" i="1" s="1"/>
  <c r="R131" i="1" s="1"/>
  <c r="B131" i="1"/>
  <c r="M130" i="1"/>
  <c r="N130" i="1" s="1"/>
  <c r="R130" i="1" s="1"/>
  <c r="B130" i="1"/>
  <c r="M129" i="1"/>
  <c r="N129" i="1" s="1"/>
  <c r="R129" i="1" s="1"/>
  <c r="B129" i="1"/>
  <c r="M128" i="1"/>
  <c r="N128" i="1" s="1"/>
  <c r="R128" i="1" s="1"/>
  <c r="B128" i="1"/>
  <c r="M127" i="1"/>
  <c r="N127" i="1" s="1"/>
  <c r="R127" i="1" s="1"/>
  <c r="B127" i="1"/>
  <c r="M126" i="1"/>
  <c r="N126" i="1" s="1"/>
  <c r="R126" i="1" s="1"/>
  <c r="B126" i="1"/>
  <c r="M125" i="1"/>
  <c r="N125" i="1" s="1"/>
  <c r="R125" i="1" s="1"/>
  <c r="B125" i="1"/>
  <c r="M124" i="1"/>
  <c r="N124" i="1" s="1"/>
  <c r="R124" i="1" s="1"/>
  <c r="B124" i="1"/>
  <c r="M123" i="1"/>
  <c r="N123" i="1" s="1"/>
  <c r="R123" i="1" s="1"/>
  <c r="B123" i="1"/>
  <c r="M122" i="1"/>
  <c r="N122" i="1" s="1"/>
  <c r="R122" i="1" s="1"/>
  <c r="B122" i="1"/>
  <c r="M121" i="1"/>
  <c r="N121" i="1" s="1"/>
  <c r="R121" i="1" s="1"/>
  <c r="B121" i="1"/>
  <c r="M120" i="1"/>
  <c r="N120" i="1" s="1"/>
  <c r="R120" i="1" s="1"/>
  <c r="B120" i="1"/>
  <c r="M119" i="1"/>
  <c r="N119" i="1" s="1"/>
  <c r="R119" i="1" s="1"/>
  <c r="B119" i="1"/>
  <c r="M118" i="1"/>
  <c r="N118" i="1" s="1"/>
  <c r="R118" i="1" s="1"/>
  <c r="B118" i="1"/>
  <c r="M117" i="1"/>
  <c r="N117" i="1" s="1"/>
  <c r="R117" i="1" s="1"/>
  <c r="B117" i="1"/>
  <c r="M116" i="1"/>
  <c r="N116" i="1" s="1"/>
  <c r="R116" i="1" s="1"/>
  <c r="B116" i="1"/>
  <c r="M115" i="1"/>
  <c r="N115" i="1" s="1"/>
  <c r="R115" i="1" s="1"/>
  <c r="B115" i="1"/>
  <c r="M114" i="1"/>
  <c r="N114" i="1" s="1"/>
  <c r="R114" i="1" s="1"/>
  <c r="B114" i="1"/>
  <c r="M113" i="1"/>
  <c r="N113" i="1" s="1"/>
  <c r="R113" i="1" s="1"/>
  <c r="B113" i="1"/>
  <c r="M112" i="1"/>
  <c r="N112" i="1" s="1"/>
  <c r="R112" i="1" s="1"/>
  <c r="B112" i="1"/>
  <c r="M111" i="1"/>
  <c r="N111" i="1" s="1"/>
  <c r="R111" i="1" s="1"/>
  <c r="B111" i="1"/>
  <c r="M110" i="1"/>
  <c r="N110" i="1" s="1"/>
  <c r="R110" i="1" s="1"/>
  <c r="B110" i="1"/>
  <c r="M109" i="1"/>
  <c r="N109" i="1" s="1"/>
  <c r="R109" i="1" s="1"/>
  <c r="B109" i="1"/>
  <c r="M108" i="1"/>
  <c r="N108" i="1" s="1"/>
  <c r="R108" i="1" s="1"/>
  <c r="B108" i="1"/>
  <c r="M107" i="1"/>
  <c r="N107" i="1" s="1"/>
  <c r="R107" i="1" s="1"/>
  <c r="B107" i="1"/>
  <c r="M106" i="1"/>
  <c r="N106" i="1" s="1"/>
  <c r="R106" i="1" s="1"/>
  <c r="B106" i="1"/>
  <c r="M105" i="1"/>
  <c r="N105" i="1" s="1"/>
  <c r="R105" i="1" s="1"/>
  <c r="B105" i="1"/>
  <c r="M104" i="1"/>
  <c r="N104" i="1" s="1"/>
  <c r="R104" i="1" s="1"/>
  <c r="B104" i="1"/>
  <c r="M103" i="1"/>
  <c r="N103" i="1" s="1"/>
  <c r="R103" i="1" s="1"/>
  <c r="B103" i="1"/>
  <c r="M102" i="1"/>
  <c r="N102" i="1" s="1"/>
  <c r="R102" i="1" s="1"/>
  <c r="B102" i="1"/>
  <c r="M101" i="1"/>
  <c r="N101" i="1" s="1"/>
  <c r="R101" i="1" s="1"/>
  <c r="B101" i="1"/>
  <c r="M100" i="1"/>
  <c r="N100" i="1" s="1"/>
  <c r="R100" i="1" s="1"/>
  <c r="B100" i="1"/>
  <c r="M99" i="1"/>
  <c r="N99" i="1" s="1"/>
  <c r="R99" i="1" s="1"/>
  <c r="B99" i="1"/>
  <c r="M98" i="1"/>
  <c r="N98" i="1" s="1"/>
  <c r="R98" i="1" s="1"/>
  <c r="B98" i="1"/>
  <c r="M97" i="1"/>
  <c r="N97" i="1" s="1"/>
  <c r="R97" i="1" s="1"/>
  <c r="B97" i="1"/>
  <c r="M96" i="1"/>
  <c r="N96" i="1" s="1"/>
  <c r="R96" i="1" s="1"/>
  <c r="B96" i="1"/>
  <c r="M95" i="1"/>
  <c r="N95" i="1" s="1"/>
  <c r="R95" i="1" s="1"/>
  <c r="B95" i="1"/>
  <c r="M94" i="1"/>
  <c r="N94" i="1" s="1"/>
  <c r="R94" i="1" s="1"/>
  <c r="B94" i="1"/>
  <c r="M93" i="1"/>
  <c r="N93" i="1" s="1"/>
  <c r="R93" i="1" s="1"/>
  <c r="B93" i="1"/>
  <c r="M92" i="1"/>
  <c r="N92" i="1" s="1"/>
  <c r="R92" i="1" s="1"/>
  <c r="B92" i="1"/>
  <c r="M91" i="1"/>
  <c r="N91" i="1" s="1"/>
  <c r="R91" i="1" s="1"/>
  <c r="B91" i="1"/>
  <c r="M90" i="1"/>
  <c r="N90" i="1" s="1"/>
  <c r="R90" i="1" s="1"/>
  <c r="B90" i="1"/>
  <c r="M89" i="1"/>
  <c r="N89" i="1" s="1"/>
  <c r="R89" i="1" s="1"/>
  <c r="B89" i="1"/>
  <c r="M88" i="1"/>
  <c r="N88" i="1" s="1"/>
  <c r="R88" i="1" s="1"/>
  <c r="B88" i="1"/>
  <c r="M87" i="1"/>
  <c r="N87" i="1" s="1"/>
  <c r="R87" i="1" s="1"/>
  <c r="B87" i="1"/>
  <c r="M86" i="1"/>
  <c r="N86" i="1" s="1"/>
  <c r="R86" i="1" s="1"/>
  <c r="B86" i="1"/>
  <c r="M85" i="1"/>
  <c r="N85" i="1" s="1"/>
  <c r="R85" i="1" s="1"/>
  <c r="B85" i="1"/>
  <c r="M84" i="1"/>
  <c r="N84" i="1" s="1"/>
  <c r="R84" i="1" s="1"/>
  <c r="B84" i="1"/>
  <c r="M83" i="1"/>
  <c r="N83" i="1" s="1"/>
  <c r="R83" i="1" s="1"/>
  <c r="B83" i="1"/>
  <c r="M82" i="1"/>
  <c r="N82" i="1" s="1"/>
  <c r="R82" i="1" s="1"/>
  <c r="B82" i="1"/>
  <c r="M81" i="1"/>
  <c r="N81" i="1" s="1"/>
  <c r="R81" i="1" s="1"/>
  <c r="B81" i="1"/>
  <c r="M80" i="1"/>
  <c r="N80" i="1" s="1"/>
  <c r="R80" i="1" s="1"/>
  <c r="B80" i="1"/>
  <c r="M79" i="1"/>
  <c r="N79" i="1" s="1"/>
  <c r="R79" i="1" s="1"/>
  <c r="B79" i="1"/>
  <c r="M78" i="1"/>
  <c r="N78" i="1" s="1"/>
  <c r="R78" i="1" s="1"/>
  <c r="B78" i="1"/>
  <c r="M77" i="1"/>
  <c r="N77" i="1" s="1"/>
  <c r="R77" i="1" s="1"/>
  <c r="B77" i="1"/>
  <c r="M76" i="1"/>
  <c r="N76" i="1" s="1"/>
  <c r="R76" i="1" s="1"/>
  <c r="B76" i="1"/>
  <c r="M75" i="1"/>
  <c r="N75" i="1" s="1"/>
  <c r="R75" i="1" s="1"/>
  <c r="B75" i="1"/>
  <c r="M74" i="1"/>
  <c r="N74" i="1" s="1"/>
  <c r="R74" i="1" s="1"/>
  <c r="B74" i="1"/>
  <c r="M73" i="1"/>
  <c r="N73" i="1" s="1"/>
  <c r="R73" i="1" s="1"/>
  <c r="B73" i="1"/>
  <c r="M72" i="1"/>
  <c r="N72" i="1" s="1"/>
  <c r="R72" i="1" s="1"/>
  <c r="B72" i="1"/>
  <c r="M71" i="1"/>
  <c r="N71" i="1" s="1"/>
  <c r="R71" i="1" s="1"/>
  <c r="B71" i="1"/>
  <c r="M70" i="1"/>
  <c r="N70" i="1" s="1"/>
  <c r="R70" i="1" s="1"/>
  <c r="B70" i="1"/>
  <c r="M69" i="1"/>
  <c r="N69" i="1" s="1"/>
  <c r="R69" i="1" s="1"/>
  <c r="B69" i="1"/>
  <c r="M68" i="1"/>
  <c r="N68" i="1" s="1"/>
  <c r="R68" i="1" s="1"/>
  <c r="B68" i="1"/>
  <c r="M67" i="1"/>
  <c r="N67" i="1" s="1"/>
  <c r="R67" i="1" s="1"/>
  <c r="B67" i="1"/>
  <c r="M66" i="1"/>
  <c r="N66" i="1" s="1"/>
  <c r="R66" i="1" s="1"/>
  <c r="B66" i="1"/>
  <c r="M65" i="1"/>
  <c r="N65" i="1" s="1"/>
  <c r="R65" i="1" s="1"/>
  <c r="B65" i="1"/>
  <c r="M64" i="1"/>
  <c r="N64" i="1" s="1"/>
  <c r="R64" i="1" s="1"/>
  <c r="B64" i="1"/>
  <c r="M63" i="1"/>
  <c r="N63" i="1" s="1"/>
  <c r="R63" i="1" s="1"/>
  <c r="B63" i="1"/>
  <c r="M62" i="1"/>
  <c r="N62" i="1" s="1"/>
  <c r="R62" i="1" s="1"/>
  <c r="B62" i="1"/>
  <c r="M61" i="1"/>
  <c r="N61" i="1" s="1"/>
  <c r="R61" i="1" s="1"/>
  <c r="B61" i="1"/>
  <c r="M60" i="1"/>
  <c r="N60" i="1" s="1"/>
  <c r="R60" i="1" s="1"/>
  <c r="B60" i="1"/>
  <c r="M59" i="1"/>
  <c r="N59" i="1" s="1"/>
  <c r="R59" i="1" s="1"/>
  <c r="B59" i="1"/>
  <c r="M58" i="1"/>
  <c r="N58" i="1" s="1"/>
  <c r="R58" i="1" s="1"/>
  <c r="B58" i="1"/>
  <c r="M57" i="1"/>
  <c r="N57" i="1" s="1"/>
  <c r="R57" i="1" s="1"/>
  <c r="B57" i="1"/>
  <c r="M56" i="1"/>
  <c r="N56" i="1" s="1"/>
  <c r="R56" i="1" s="1"/>
  <c r="B56" i="1"/>
  <c r="M55" i="1"/>
  <c r="N55" i="1" s="1"/>
  <c r="R55" i="1" s="1"/>
  <c r="B55" i="1"/>
  <c r="M54" i="1"/>
  <c r="N54" i="1" s="1"/>
  <c r="R54" i="1" s="1"/>
  <c r="B54" i="1"/>
  <c r="M53" i="1"/>
  <c r="N53" i="1" s="1"/>
  <c r="R53" i="1" s="1"/>
  <c r="B53" i="1"/>
  <c r="M52" i="1"/>
  <c r="N52" i="1" s="1"/>
  <c r="R52" i="1" s="1"/>
  <c r="B52" i="1"/>
  <c r="M51" i="1"/>
  <c r="N51" i="1" s="1"/>
  <c r="R51" i="1" s="1"/>
  <c r="B51" i="1"/>
  <c r="M50" i="1"/>
  <c r="N50" i="1" s="1"/>
  <c r="R50" i="1" s="1"/>
  <c r="B50" i="1"/>
  <c r="M49" i="1"/>
  <c r="N49" i="1" s="1"/>
  <c r="R49" i="1" s="1"/>
  <c r="B49" i="1"/>
  <c r="M48" i="1"/>
  <c r="N48" i="1" s="1"/>
  <c r="R48" i="1" s="1"/>
  <c r="B48" i="1"/>
  <c r="M47" i="1"/>
  <c r="N47" i="1" s="1"/>
  <c r="R47" i="1" s="1"/>
  <c r="B47" i="1"/>
  <c r="M46" i="1"/>
  <c r="N46" i="1" s="1"/>
  <c r="R46" i="1" s="1"/>
  <c r="B46" i="1"/>
  <c r="M45" i="1"/>
  <c r="N45" i="1" s="1"/>
  <c r="R45" i="1" s="1"/>
  <c r="B45" i="1"/>
  <c r="M44" i="1"/>
  <c r="N44" i="1" s="1"/>
  <c r="R44" i="1" s="1"/>
  <c r="B44" i="1"/>
  <c r="M43" i="1"/>
  <c r="N43" i="1" s="1"/>
  <c r="R43" i="1" s="1"/>
  <c r="B43" i="1"/>
  <c r="M42" i="1"/>
  <c r="N42" i="1" s="1"/>
  <c r="R42" i="1" s="1"/>
  <c r="B42" i="1"/>
  <c r="M41" i="1"/>
  <c r="N41" i="1" s="1"/>
  <c r="R41" i="1" s="1"/>
  <c r="B41" i="1"/>
  <c r="M40" i="1"/>
  <c r="N40" i="1" s="1"/>
  <c r="R40" i="1" s="1"/>
  <c r="B40" i="1"/>
  <c r="M39" i="1"/>
  <c r="N39" i="1" s="1"/>
  <c r="R39" i="1" s="1"/>
  <c r="B39" i="1"/>
  <c r="M38" i="1"/>
  <c r="N38" i="1" s="1"/>
  <c r="R38" i="1" s="1"/>
  <c r="B38" i="1"/>
  <c r="M37" i="1"/>
  <c r="N37" i="1" s="1"/>
  <c r="R37" i="1" s="1"/>
  <c r="B37" i="1"/>
  <c r="M36" i="1"/>
  <c r="N36" i="1" s="1"/>
  <c r="R36" i="1" s="1"/>
  <c r="B36" i="1"/>
  <c r="M35" i="1"/>
  <c r="N35" i="1" s="1"/>
  <c r="R35" i="1" s="1"/>
  <c r="B35" i="1"/>
  <c r="M34" i="1"/>
  <c r="N34" i="1" s="1"/>
  <c r="R34" i="1" s="1"/>
  <c r="B34" i="1"/>
  <c r="M33" i="1"/>
  <c r="N33" i="1" s="1"/>
  <c r="R33" i="1" s="1"/>
  <c r="B33" i="1"/>
  <c r="M32" i="1"/>
  <c r="N32" i="1" s="1"/>
  <c r="R32" i="1" s="1"/>
  <c r="B32" i="1"/>
  <c r="M31" i="1"/>
  <c r="N31" i="1" s="1"/>
  <c r="R31" i="1" s="1"/>
  <c r="B31" i="1"/>
  <c r="M30" i="1"/>
  <c r="N30" i="1" s="1"/>
  <c r="R30" i="1" s="1"/>
  <c r="B30" i="1"/>
  <c r="M29" i="1"/>
  <c r="N29" i="1" s="1"/>
  <c r="R29" i="1" s="1"/>
  <c r="B29" i="1"/>
  <c r="M28" i="1"/>
  <c r="N28" i="1" s="1"/>
  <c r="R28" i="1" s="1"/>
  <c r="B28" i="1"/>
  <c r="M27" i="1"/>
  <c r="N27" i="1" s="1"/>
  <c r="R27" i="1" s="1"/>
  <c r="B27" i="1"/>
  <c r="M26" i="1"/>
  <c r="N26" i="1" s="1"/>
  <c r="R26" i="1" s="1"/>
  <c r="B26" i="1"/>
  <c r="M25" i="1"/>
  <c r="N25" i="1" s="1"/>
  <c r="R25" i="1" s="1"/>
  <c r="B25" i="1"/>
  <c r="M24" i="1"/>
  <c r="N24" i="1" s="1"/>
  <c r="R24" i="1" s="1"/>
  <c r="B24" i="1"/>
  <c r="M23" i="1"/>
  <c r="N23" i="1" s="1"/>
  <c r="R23" i="1" s="1"/>
  <c r="B23" i="1"/>
  <c r="M22" i="1"/>
  <c r="N22" i="1" s="1"/>
  <c r="R22" i="1" s="1"/>
  <c r="B22" i="1"/>
  <c r="M21" i="1"/>
  <c r="N21" i="1" s="1"/>
  <c r="R21" i="1" s="1"/>
  <c r="B21" i="1"/>
  <c r="M20" i="1"/>
  <c r="N20" i="1" s="1"/>
  <c r="R20" i="1" s="1"/>
  <c r="B20" i="1"/>
  <c r="M19" i="1"/>
  <c r="N19" i="1" s="1"/>
  <c r="R19" i="1" s="1"/>
  <c r="B19" i="1"/>
  <c r="M18" i="1"/>
  <c r="N18" i="1" s="1"/>
  <c r="R18" i="1" s="1"/>
  <c r="B18" i="1"/>
  <c r="M17" i="1"/>
  <c r="N17" i="1" s="1"/>
  <c r="R17" i="1" s="1"/>
  <c r="B17" i="1"/>
  <c r="M16" i="1"/>
  <c r="N16" i="1" s="1"/>
  <c r="R16" i="1" s="1"/>
  <c r="B16" i="1"/>
  <c r="M15" i="1"/>
  <c r="N15" i="1" s="1"/>
  <c r="R15" i="1" s="1"/>
  <c r="B15" i="1"/>
  <c r="M14" i="1"/>
  <c r="N14" i="1" s="1"/>
  <c r="R14" i="1" s="1"/>
  <c r="B14" i="1"/>
  <c r="M13" i="1"/>
  <c r="N13" i="1" s="1"/>
  <c r="R13" i="1" s="1"/>
  <c r="B13" i="1"/>
  <c r="M12" i="1"/>
  <c r="N12" i="1" s="1"/>
  <c r="R12" i="1" s="1"/>
  <c r="B12" i="1"/>
  <c r="Q6" i="1"/>
</calcChain>
</file>

<file path=xl/sharedStrings.xml><?xml version="1.0" encoding="utf-8"?>
<sst xmlns="http://schemas.openxmlformats.org/spreadsheetml/2006/main" count="2545" uniqueCount="1132">
  <si>
    <t>TIA INTEGRATED MANAGEMENT SYSTEM</t>
  </si>
  <si>
    <t>DAFTAR KENDARAAN /UNIT PENGGUNA STICKER</t>
  </si>
  <si>
    <t>PERUSAHAAN : PT. CK - BIB</t>
  </si>
  <si>
    <t>c</t>
  </si>
  <si>
    <t>No.</t>
  </si>
  <si>
    <t>Perusahaan</t>
  </si>
  <si>
    <t>Jenis Kendaraan / Unit</t>
  </si>
  <si>
    <t>Merek</t>
  </si>
  <si>
    <t>Type</t>
  </si>
  <si>
    <t>No. Registrasi Kend. / Unit</t>
  </si>
  <si>
    <t>No. Lambung Kend. / Unit</t>
  </si>
  <si>
    <t>No. Polisi Kend. / Unit</t>
  </si>
  <si>
    <t>Tahun Kend. / Unit</t>
  </si>
  <si>
    <t>Masa Berlaku No. Polisi</t>
  </si>
  <si>
    <t>Tanggal Pemeriksaan</t>
  </si>
  <si>
    <t>Masa Berlaku Sticker</t>
  </si>
  <si>
    <t>Monitoring by Days</t>
  </si>
  <si>
    <t>Nomor Seri</t>
  </si>
  <si>
    <t>Keterangan</t>
  </si>
  <si>
    <t>Status</t>
  </si>
  <si>
    <t>Kend. / Unit</t>
  </si>
  <si>
    <t>No. Polisi</t>
  </si>
  <si>
    <t>Pemeriksaan</t>
  </si>
  <si>
    <t>Sticker</t>
  </si>
  <si>
    <t>Chasis</t>
  </si>
  <si>
    <t>Mesin</t>
  </si>
  <si>
    <t>PT. CK - BIB</t>
  </si>
  <si>
    <t>Full Access</t>
  </si>
  <si>
    <t>-</t>
  </si>
  <si>
    <t>Caterpillar</t>
  </si>
  <si>
    <t>Caterpilar</t>
  </si>
  <si>
    <t>OHT</t>
  </si>
  <si>
    <t>CATERPILLAR</t>
  </si>
  <si>
    <t>773D</t>
  </si>
  <si>
    <t>319/TIA-CK-BIB/V/2026</t>
  </si>
  <si>
    <t>HD 2152</t>
  </si>
  <si>
    <t>NJB00202</t>
  </si>
  <si>
    <t>NTE00524</t>
  </si>
  <si>
    <t>773E</t>
  </si>
  <si>
    <t>320/TIA-CK-BIB/V/2026</t>
  </si>
  <si>
    <t>HD 2221</t>
  </si>
  <si>
    <t>PRB00418</t>
  </si>
  <si>
    <t>321/TIA-CK-BIB/V/2026</t>
  </si>
  <si>
    <t>HD 2222</t>
  </si>
  <si>
    <t>PRB00419</t>
  </si>
  <si>
    <t>NTE00525</t>
  </si>
  <si>
    <t>322/TIA-CK-BIB/V/2026</t>
  </si>
  <si>
    <t>HD 2241</t>
  </si>
  <si>
    <t>PRB00739</t>
  </si>
  <si>
    <t>NTE00897</t>
  </si>
  <si>
    <t>323/TIA-CK-BIB/V/2026</t>
  </si>
  <si>
    <t>HD 2264</t>
  </si>
  <si>
    <t>ASK00436</t>
  </si>
  <si>
    <t>KPH00882</t>
  </si>
  <si>
    <t>324/TIA-CK-BIB/V/2026</t>
  </si>
  <si>
    <t>HD 2301</t>
  </si>
  <si>
    <t>ASK00495</t>
  </si>
  <si>
    <t xml:space="preserve">	KPH00514</t>
  </si>
  <si>
    <t>325/TIA-CK-BIB/V/2026</t>
  </si>
  <si>
    <t>HD 2309</t>
  </si>
  <si>
    <t>ASK00574</t>
  </si>
  <si>
    <t>KPH01749</t>
  </si>
  <si>
    <t>326/TIA-CK-BIB/V/2026</t>
  </si>
  <si>
    <t>HD 2310</t>
  </si>
  <si>
    <t>ASK00575</t>
  </si>
  <si>
    <t>KPH01570</t>
  </si>
  <si>
    <t>327/TIA-CK-BIB/V/2026</t>
  </si>
  <si>
    <t>HD 2321</t>
  </si>
  <si>
    <t>ASK00755</t>
  </si>
  <si>
    <t>KPH00622</t>
  </si>
  <si>
    <t>328/TIA-CK-BIB/V/2026</t>
  </si>
  <si>
    <t>HD 2336</t>
  </si>
  <si>
    <t>ASK00809</t>
  </si>
  <si>
    <t>KPH01098</t>
  </si>
  <si>
    <t>329/TIA-CK-BIB/V/2026</t>
  </si>
  <si>
    <t>HD 2370</t>
  </si>
  <si>
    <t>PRB00992</t>
  </si>
  <si>
    <t xml:space="preserve">	NTE01170</t>
  </si>
  <si>
    <t>330/TIA-CK-BIB/V/2026</t>
  </si>
  <si>
    <t>HD 2371</t>
  </si>
  <si>
    <t>PRB00993</t>
  </si>
  <si>
    <t>NTE01179</t>
  </si>
  <si>
    <t>331/TIA-CK-BIB/V/2026</t>
  </si>
  <si>
    <t>HD 2372</t>
  </si>
  <si>
    <t>PRB00994</t>
  </si>
  <si>
    <t xml:space="preserve">	NTE01176</t>
  </si>
  <si>
    <t>332/TIA-CK-BIB/V/2026</t>
  </si>
  <si>
    <t>HD 2373</t>
  </si>
  <si>
    <t>PRB00995</t>
  </si>
  <si>
    <t>NTE01181</t>
  </si>
  <si>
    <t>333/TIA-CK-BIB/V/2026</t>
  </si>
  <si>
    <t>HD 2374</t>
  </si>
  <si>
    <t>PRB01002</t>
  </si>
  <si>
    <t xml:space="preserve">	NTE01189</t>
  </si>
  <si>
    <t>334/TIA-CK-BIB/V/2026</t>
  </si>
  <si>
    <t>HD 2375</t>
  </si>
  <si>
    <t>PRB01003</t>
  </si>
  <si>
    <t>NTE01188</t>
  </si>
  <si>
    <t>335/TIA-CK-BIB/V/2026</t>
  </si>
  <si>
    <t>HD 2465</t>
  </si>
  <si>
    <t>PRB01449</t>
  </si>
  <si>
    <t>NTE01676</t>
  </si>
  <si>
    <t>336/TIA-CK-BIB/V/2026</t>
  </si>
  <si>
    <t>HD 2237</t>
  </si>
  <si>
    <t>PRB00449</t>
  </si>
  <si>
    <t>NTE0055</t>
  </si>
  <si>
    <t>343/TIA-CK-BIB/V/2026</t>
  </si>
  <si>
    <t>HD 4561</t>
  </si>
  <si>
    <t>7W803047</t>
  </si>
  <si>
    <t>ZRK00931</t>
  </si>
  <si>
    <t>344/TIA-CK-BIB/V/2026</t>
  </si>
  <si>
    <t>HD 4562</t>
  </si>
  <si>
    <t>7W803048</t>
  </si>
  <si>
    <t>ZRK00681</t>
  </si>
  <si>
    <t>345/TIA-CK-BIB/V/2026</t>
  </si>
  <si>
    <t>HD 4563</t>
  </si>
  <si>
    <t>7W803049</t>
  </si>
  <si>
    <t>ZRK00930</t>
  </si>
  <si>
    <t>346/TIA-CK-BIB/V/2026</t>
  </si>
  <si>
    <t>HD 4575</t>
  </si>
  <si>
    <t>7W803060</t>
  </si>
  <si>
    <t>ZRK00893</t>
  </si>
  <si>
    <t>347/TIA-CK-BIB/V/2026</t>
  </si>
  <si>
    <t>HD 4578</t>
  </si>
  <si>
    <t>7W803174</t>
  </si>
  <si>
    <t>ZRK01058</t>
  </si>
  <si>
    <t>348/TIA-CK-BIB/V/2026</t>
  </si>
  <si>
    <t>HD 4589</t>
  </si>
  <si>
    <t>7W803156</t>
  </si>
  <si>
    <t>ZRK01029</t>
  </si>
  <si>
    <t>349/TIA-CK-BIB/V/2026</t>
  </si>
  <si>
    <t>HD 4591</t>
  </si>
  <si>
    <t>7W803221</t>
  </si>
  <si>
    <t>ZRK01047</t>
  </si>
  <si>
    <t>350/TIA-CK-BIB/V/2026</t>
  </si>
  <si>
    <t>HD 4592</t>
  </si>
  <si>
    <t>7W803311</t>
  </si>
  <si>
    <t>ZRK01211</t>
  </si>
  <si>
    <t>351/TIA-CK-BIB/V/2026</t>
  </si>
  <si>
    <t>HD 4593</t>
  </si>
  <si>
    <t>7W803312</t>
  </si>
  <si>
    <t>ZRK01183</t>
  </si>
  <si>
    <t>352/TIA-CK-BIB/V/2026</t>
  </si>
  <si>
    <t>HD 4594</t>
  </si>
  <si>
    <t>7W803313</t>
  </si>
  <si>
    <t>ZRK01170</t>
  </si>
  <si>
    <t>353/TIA-CK-BIB/V/2026</t>
  </si>
  <si>
    <t>HD 4595</t>
  </si>
  <si>
    <t>7W803315</t>
  </si>
  <si>
    <t>ZRK01188</t>
  </si>
  <si>
    <t>354/TIA-CK-BIB/V/2026</t>
  </si>
  <si>
    <t>HD 4596</t>
  </si>
  <si>
    <t>7W803314</t>
  </si>
  <si>
    <t>ZRK01195</t>
  </si>
  <si>
    <t>356/TIA-CK-BIB/V/2026</t>
  </si>
  <si>
    <t>HD 4598</t>
  </si>
  <si>
    <t>7W803328</t>
  </si>
  <si>
    <t xml:space="preserve"> ZRK01229</t>
  </si>
  <si>
    <t>357/TIA-CK-BIB/V/2026</t>
  </si>
  <si>
    <t>HD 4599</t>
  </si>
  <si>
    <t>7W803327</t>
  </si>
  <si>
    <t>ZRK01217</t>
  </si>
  <si>
    <t>358/TIA-CK-BIB/V/2026</t>
  </si>
  <si>
    <t>HD 4600</t>
  </si>
  <si>
    <t>7W803329</t>
  </si>
  <si>
    <t>ZRK01186</t>
  </si>
  <si>
    <t>359/TIA-CK-BIB/V/2026</t>
  </si>
  <si>
    <t>HD 4601</t>
  </si>
  <si>
    <t>7W803331</t>
  </si>
  <si>
    <t>ZRK01200</t>
  </si>
  <si>
    <t>360/TIA-CK-BIB/V/2026</t>
  </si>
  <si>
    <t>HD 4602</t>
  </si>
  <si>
    <t>7W803199</t>
  </si>
  <si>
    <t xml:space="preserve">	ZRK01083</t>
  </si>
  <si>
    <t>361/TIA-CK-BIB/V/2026</t>
  </si>
  <si>
    <t>HD 4603</t>
  </si>
  <si>
    <t>7W803200</t>
  </si>
  <si>
    <t>ZRK01033</t>
  </si>
  <si>
    <t>362/TIA-CK-BIB/V/2026</t>
  </si>
  <si>
    <t>HD 4604</t>
  </si>
  <si>
    <t>7W803231</t>
  </si>
  <si>
    <t>ZRK01148</t>
  </si>
  <si>
    <t>363/TIA-CK-BIB/V/2026</t>
  </si>
  <si>
    <t>HD 4605</t>
  </si>
  <si>
    <t>7W803232</t>
  </si>
  <si>
    <t>ZRK01132</t>
  </si>
  <si>
    <t>364/TIA-CK-BIB/V/2026</t>
  </si>
  <si>
    <t>HD 4612</t>
  </si>
  <si>
    <t>7W803225</t>
  </si>
  <si>
    <t>ZRK01065</t>
  </si>
  <si>
    <t>365/TIA-CK-BIB/V/2026</t>
  </si>
  <si>
    <t>HD 4613</t>
  </si>
  <si>
    <t>7W803226</t>
  </si>
  <si>
    <t>ZRK01079</t>
  </si>
  <si>
    <t>366/TIA-CK-BIB/V/2026</t>
  </si>
  <si>
    <t>HD 4614</t>
  </si>
  <si>
    <t>7W803227</t>
  </si>
  <si>
    <t>ZRK01113</t>
  </si>
  <si>
    <t>367/TIA-CK-BIB/V/2026</t>
  </si>
  <si>
    <t>HD 4615</t>
  </si>
  <si>
    <t>7W803233</t>
  </si>
  <si>
    <t>ZRK01111</t>
  </si>
  <si>
    <t>368/TIA-CK-BIB/V/2026</t>
  </si>
  <si>
    <t>HD 4616</t>
  </si>
  <si>
    <t>7W803234</t>
  </si>
  <si>
    <t>ZRK01140</t>
  </si>
  <si>
    <t>369/TIA-CK-BIB/V/2026</t>
  </si>
  <si>
    <t>HD 4617</t>
  </si>
  <si>
    <t>7W803235</t>
  </si>
  <si>
    <t>ZRK01143</t>
  </si>
  <si>
    <t>370/TIA-CK-BIB/V/2026</t>
  </si>
  <si>
    <t>HD 4618</t>
  </si>
  <si>
    <t>7W803251</t>
  </si>
  <si>
    <t xml:space="preserve">	ZRK01052</t>
  </si>
  <si>
    <t>371/TIA-CK-BIB/V/2026</t>
  </si>
  <si>
    <t>HD 4619</t>
  </si>
  <si>
    <t>7W803252</t>
  </si>
  <si>
    <t>ZRK01118</t>
  </si>
  <si>
    <t>372/TIA-CK-BIB/V/2026</t>
  </si>
  <si>
    <t>HD 4620</t>
  </si>
  <si>
    <t>7W803254</t>
  </si>
  <si>
    <t xml:space="preserve">	ZRK01061</t>
  </si>
  <si>
    <t>373/TIA-CK-BIB/V/2026</t>
  </si>
  <si>
    <t>HD 4621</t>
  </si>
  <si>
    <t>7W803260</t>
  </si>
  <si>
    <t xml:space="preserve">	ZRK01011</t>
  </si>
  <si>
    <t>374/TIA-CK-BIB/V/2026</t>
  </si>
  <si>
    <t>HD 4622</t>
  </si>
  <si>
    <t>7W803270</t>
  </si>
  <si>
    <t>ZRK01281</t>
  </si>
  <si>
    <t>375/TIA-CK-BIB/V/2026</t>
  </si>
  <si>
    <t>HD 4623</t>
  </si>
  <si>
    <t>7W803284</t>
  </si>
  <si>
    <t>ZRK01166</t>
  </si>
  <si>
    <t>376/TIA-CK-BIB/V/2026</t>
  </si>
  <si>
    <t>HD 4624</t>
  </si>
  <si>
    <t>7W803236</t>
  </si>
  <si>
    <t>ZRK01105</t>
  </si>
  <si>
    <t>377/TIA-CK-BIB/V/2026</t>
  </si>
  <si>
    <t>HD 4625</t>
  </si>
  <si>
    <t>7W803213</t>
  </si>
  <si>
    <t>ZRK01134</t>
  </si>
  <si>
    <t>378/TIA-CK-BIB/V/2026</t>
  </si>
  <si>
    <t>HD 4626</t>
  </si>
  <si>
    <t>7W803211</t>
  </si>
  <si>
    <t>ZRK01102</t>
  </si>
  <si>
    <t>379/TIA-CK-BIB/V/2026</t>
  </si>
  <si>
    <t>HD 4627</t>
  </si>
  <si>
    <t>7W803209</t>
  </si>
  <si>
    <t>ZRK01073</t>
  </si>
  <si>
    <t>380/TIA-CK-BIB/V/2026</t>
  </si>
  <si>
    <t>HD 4628</t>
  </si>
  <si>
    <t>7W803208</t>
  </si>
  <si>
    <t>ZRK01050</t>
  </si>
  <si>
    <t>381/TIA-CK-BIB/V/2026</t>
  </si>
  <si>
    <t>HD 4629</t>
  </si>
  <si>
    <t>7W803198</t>
  </si>
  <si>
    <t>382/TIA-CK-BIB/V/2026</t>
  </si>
  <si>
    <t>HD 4630</t>
  </si>
  <si>
    <t>7W803197</t>
  </si>
  <si>
    <t>ZRK01094</t>
  </si>
  <si>
    <t>383/TIA-CK-BIB/V/2026</t>
  </si>
  <si>
    <t>HD 4631</t>
  </si>
  <si>
    <t>7W803196</t>
  </si>
  <si>
    <t>ZRK01036</t>
  </si>
  <si>
    <t>384/TIA-CK-BIB/V/2026</t>
  </si>
  <si>
    <t>HD 4632</t>
  </si>
  <si>
    <t>7W803194</t>
  </si>
  <si>
    <t>ZRK01133</t>
  </si>
  <si>
    <t>385/TIA-CK-BIB/V/2026</t>
  </si>
  <si>
    <t>HD 4633</t>
  </si>
  <si>
    <t>7W803195</t>
  </si>
  <si>
    <t>ZRK01041</t>
  </si>
  <si>
    <t>386/TIA-CK-BIB/V/2026</t>
  </si>
  <si>
    <t>HD 4634</t>
  </si>
  <si>
    <t>7W803238</t>
  </si>
  <si>
    <t>ZRK01127</t>
  </si>
  <si>
    <t>387/TIA-CK-BIB/V/2026</t>
  </si>
  <si>
    <t>HD 4635</t>
  </si>
  <si>
    <t>7W803249</t>
  </si>
  <si>
    <t>ZRK01099</t>
  </si>
  <si>
    <t>388/TIA-CK-BIB/V/2026</t>
  </si>
  <si>
    <t>HD 4636</t>
  </si>
  <si>
    <t>7W803253</t>
  </si>
  <si>
    <t>ZRK01070</t>
  </si>
  <si>
    <t>389/TIA-CK-BIB/V/2026</t>
  </si>
  <si>
    <t>HD 4637</t>
  </si>
  <si>
    <t>7W803215</t>
  </si>
  <si>
    <t>ZRK01115</t>
  </si>
  <si>
    <t>390/TIA-CK-BIB/V/2026</t>
  </si>
  <si>
    <t>HD 4638</t>
  </si>
  <si>
    <t>7W803279</t>
  </si>
  <si>
    <t>ZRK01147</t>
  </si>
  <si>
    <t>391/TIA-CK-BIB/V/2026</t>
  </si>
  <si>
    <t>HD 4639</t>
  </si>
  <si>
    <t>7W803280</t>
  </si>
  <si>
    <t>ZRK00574</t>
  </si>
  <si>
    <t>392/TIA-CK-BIB/V/2026</t>
  </si>
  <si>
    <t>HD 4640</t>
  </si>
  <si>
    <t>7W803282</t>
  </si>
  <si>
    <t>ZRK01182</t>
  </si>
  <si>
    <t>WATER TRUCK</t>
  </si>
  <si>
    <t>402/TIA-CK-BIB/V/2026</t>
  </si>
  <si>
    <t>HD 4167</t>
  </si>
  <si>
    <t>KDP01335</t>
  </si>
  <si>
    <t>ZRK00220</t>
  </si>
  <si>
    <t>403/TIA-CK-BIB/V/2026</t>
  </si>
  <si>
    <t>HD 4169</t>
  </si>
  <si>
    <t>KDP01337</t>
  </si>
  <si>
    <t>DLT01427</t>
  </si>
  <si>
    <t>404/TIA-CK-BIB/V/2026</t>
  </si>
  <si>
    <t>HD 4175</t>
  </si>
  <si>
    <t>KDP01350</t>
  </si>
  <si>
    <t>DLT01486</t>
  </si>
  <si>
    <t>405/TIA-CK-BIB/V/2026</t>
  </si>
  <si>
    <t>HD 4177</t>
  </si>
  <si>
    <t>KDP01351</t>
  </si>
  <si>
    <t>DLT01483</t>
  </si>
  <si>
    <t>406/TIA-CK-BIB/V/2026</t>
  </si>
  <si>
    <t>HD 4179</t>
  </si>
  <si>
    <t>KDP01353</t>
  </si>
  <si>
    <t>DLT01487</t>
  </si>
  <si>
    <t>407/TIA-CK-BIB/V/2026</t>
  </si>
  <si>
    <t>HD 4180</t>
  </si>
  <si>
    <t>KDP01354</t>
  </si>
  <si>
    <t>DLT01488</t>
  </si>
  <si>
    <t>408/TIA-CK-BIB/V/2026</t>
  </si>
  <si>
    <t>HD 4181</t>
  </si>
  <si>
    <t>KDP01355</t>
  </si>
  <si>
    <t>DLT01489</t>
  </si>
  <si>
    <t>409/TIA-CK-BIB/V/2026</t>
  </si>
  <si>
    <t>HD 4182</t>
  </si>
  <si>
    <t>KDP01356</t>
  </si>
  <si>
    <t>DLT01499</t>
  </si>
  <si>
    <t>410/TIA-CK-BIB/V/2026</t>
  </si>
  <si>
    <t>HD 4184</t>
  </si>
  <si>
    <t>KDP01358</t>
  </si>
  <si>
    <t>DLT01501</t>
  </si>
  <si>
    <t>411/TIA-CK-BIB/V/2026</t>
  </si>
  <si>
    <t>HD 4185</t>
  </si>
  <si>
    <t>KDP01359</t>
  </si>
  <si>
    <t>DLT01498</t>
  </si>
  <si>
    <t>412/TIA-CK-BIB/V/2026</t>
  </si>
  <si>
    <t>HD 4186</t>
  </si>
  <si>
    <t>KDP01360</t>
  </si>
  <si>
    <t>DLT01505</t>
  </si>
  <si>
    <t>413/TIA-CK-BIB/V/2026</t>
  </si>
  <si>
    <t>HD 4187</t>
  </si>
  <si>
    <t>KDP01361</t>
  </si>
  <si>
    <t>DLT01474</t>
  </si>
  <si>
    <t>414/TIA-CK-BIB/V/2026</t>
  </si>
  <si>
    <t>HD 4188</t>
  </si>
  <si>
    <t>KDP01362</t>
  </si>
  <si>
    <t>DLT01508</t>
  </si>
  <si>
    <t>415/TIA-CK-BIB/V/2026</t>
  </si>
  <si>
    <t>HD 4189</t>
  </si>
  <si>
    <t>KDP01364</t>
  </si>
  <si>
    <t>DLTD1473</t>
  </si>
  <si>
    <t>416/TIA-CK-BIB/V/2026</t>
  </si>
  <si>
    <t>HD 4430</t>
  </si>
  <si>
    <t>KYD02748</t>
  </si>
  <si>
    <t>417/TIA-CK-BIB/V/2026</t>
  </si>
  <si>
    <t>HD 4435</t>
  </si>
  <si>
    <t>KYD02833</t>
  </si>
  <si>
    <t>ZRK00284</t>
  </si>
  <si>
    <t>418/TIA-CK-BIB/V/2026</t>
  </si>
  <si>
    <t>HD 4436</t>
  </si>
  <si>
    <t>KYD02834</t>
  </si>
  <si>
    <t>ZRK00314</t>
  </si>
  <si>
    <t>419/TIA-CK-BIB/V/2026</t>
  </si>
  <si>
    <t>HD 4438</t>
  </si>
  <si>
    <t>KYD02837</t>
  </si>
  <si>
    <t>ZRK00311</t>
  </si>
  <si>
    <t>420/TIA-CK-BIB/V/2026</t>
  </si>
  <si>
    <t>HD 4440</t>
  </si>
  <si>
    <t>KYD02838</t>
  </si>
  <si>
    <t>ZRK00309</t>
  </si>
  <si>
    <t>421/TIA-CK-BIB/V/2026</t>
  </si>
  <si>
    <t>HD 4443</t>
  </si>
  <si>
    <t>KYD02841</t>
  </si>
  <si>
    <t>ZRK00304</t>
  </si>
  <si>
    <t>422/TIA-CK-BIB/V/2026</t>
  </si>
  <si>
    <t>HD 4450</t>
  </si>
  <si>
    <t>7W802519</t>
  </si>
  <si>
    <t>ZRK00345</t>
  </si>
  <si>
    <t>423/TIA-CK-BIB/V/2026</t>
  </si>
  <si>
    <t>HD 4465</t>
  </si>
  <si>
    <t>7W802549</t>
  </si>
  <si>
    <t>ZRK00434</t>
  </si>
  <si>
    <t>424/TIA-CK-BIB/V/2026</t>
  </si>
  <si>
    <t>HD 4490</t>
  </si>
  <si>
    <t>7W802600</t>
  </si>
  <si>
    <t>ZRK00582</t>
  </si>
  <si>
    <t>425/TIA-CK-BIB/V/2026</t>
  </si>
  <si>
    <t>HD 4523</t>
  </si>
  <si>
    <t>7W802847</t>
  </si>
  <si>
    <t>ZRK00513</t>
  </si>
  <si>
    <t>426/TIA-CK-BIB/V/2026</t>
  </si>
  <si>
    <t>HD 4524</t>
  </si>
  <si>
    <t>ZRK00786</t>
  </si>
  <si>
    <t>427/TIA-CK-BIB/V/2026</t>
  </si>
  <si>
    <t>HD 4525</t>
  </si>
  <si>
    <t>7W802845</t>
  </si>
  <si>
    <t>ZRK00382</t>
  </si>
  <si>
    <t>428/TIA-CK-BIB/V/2026</t>
  </si>
  <si>
    <t>HD 4526</t>
  </si>
  <si>
    <t>7W802840</t>
  </si>
  <si>
    <t>ZRK000764</t>
  </si>
  <si>
    <t>429/TIA-CK-BIB/V/2026</t>
  </si>
  <si>
    <t>HD 4527</t>
  </si>
  <si>
    <t>7W802839</t>
  </si>
  <si>
    <t>ZRK00393</t>
  </si>
  <si>
    <t>430/TIA-CK-BIB/V/2026</t>
  </si>
  <si>
    <t>HD 4528</t>
  </si>
  <si>
    <t>ZRK00803</t>
  </si>
  <si>
    <t>431/TIA-CK-BIB/V/2026</t>
  </si>
  <si>
    <t>HD 4529</t>
  </si>
  <si>
    <t>7W802903</t>
  </si>
  <si>
    <t>ZRK00371</t>
  </si>
  <si>
    <t>432/TIA-CK-BIB/V/2026</t>
  </si>
  <si>
    <t>HD 4530</t>
  </si>
  <si>
    <t>7W802905</t>
  </si>
  <si>
    <t>ZRK00571</t>
  </si>
  <si>
    <t>433/TIA-CK-BIB/V/2026</t>
  </si>
  <si>
    <t>HD 4531</t>
  </si>
  <si>
    <t>7W802907</t>
  </si>
  <si>
    <t>ZRK00567</t>
  </si>
  <si>
    <t>434/TIA-CK-BIB/V/2026</t>
  </si>
  <si>
    <t>HD 4532</t>
  </si>
  <si>
    <t>7W802908</t>
  </si>
  <si>
    <t>ZRK00395</t>
  </si>
  <si>
    <t>435/TIA-CK-BIB/V/2026</t>
  </si>
  <si>
    <t>HD 4533</t>
  </si>
  <si>
    <t>7W802904</t>
  </si>
  <si>
    <t>ZRK00615</t>
  </si>
  <si>
    <t>436/TIA-CK-BIB/V/2026</t>
  </si>
  <si>
    <t>HD 4534</t>
  </si>
  <si>
    <t>7W802906</t>
  </si>
  <si>
    <t>ZRK00570</t>
  </si>
  <si>
    <t>437/TIA-CK-BIB/V/2026</t>
  </si>
  <si>
    <t>HD 4550</t>
  </si>
  <si>
    <t>7W802942</t>
  </si>
  <si>
    <t>ZRK00848</t>
  </si>
  <si>
    <t>438/TIA-CK-BIB/V/2026</t>
  </si>
  <si>
    <t>HD 4551</t>
  </si>
  <si>
    <t>7W802945</t>
  </si>
  <si>
    <t>ZRK00662</t>
  </si>
  <si>
    <t>439/TIA-CK-BIB/V/2026</t>
  </si>
  <si>
    <t>HD 4552</t>
  </si>
  <si>
    <t>7W802948</t>
  </si>
  <si>
    <t>ZRK00663</t>
  </si>
  <si>
    <t>440/TIA-CK-BIB/V/2026</t>
  </si>
  <si>
    <t>HD 4553</t>
  </si>
  <si>
    <t>7W803024</t>
  </si>
  <si>
    <t>ZRX00915</t>
  </si>
  <si>
    <t>441/TIA-CK-BIB/V/2026</t>
  </si>
  <si>
    <t>HD 4554</t>
  </si>
  <si>
    <t>7W803025</t>
  </si>
  <si>
    <t>ZRK00890</t>
  </si>
  <si>
    <t>442/TIA-CK-BIB/V/2026</t>
  </si>
  <si>
    <t>HD 4555</t>
  </si>
  <si>
    <t>7W803026</t>
  </si>
  <si>
    <t>ZRK00892</t>
  </si>
  <si>
    <t>443/TIA-CK-BIB/V/2026</t>
  </si>
  <si>
    <t>HD 4556</t>
  </si>
  <si>
    <t>7W803028</t>
  </si>
  <si>
    <t>ZRK00915</t>
  </si>
  <si>
    <t>444/TIA-CK-BIB/V/2026</t>
  </si>
  <si>
    <t>HD 4557</t>
  </si>
  <si>
    <t>7W803027</t>
  </si>
  <si>
    <t>ZRK00895</t>
  </si>
  <si>
    <t>445/TIA-CK-BIB/V/2026</t>
  </si>
  <si>
    <t>HD 4558</t>
  </si>
  <si>
    <t>7W803029</t>
  </si>
  <si>
    <t>446/TIA-CK-BIB/V/2026</t>
  </si>
  <si>
    <t>HD 4559</t>
  </si>
  <si>
    <t>7W803045</t>
  </si>
  <si>
    <t>ZRK00933</t>
  </si>
  <si>
    <t>447/TIA-CK-BIB/V/2026</t>
  </si>
  <si>
    <t>HD 4560</t>
  </si>
  <si>
    <t>7W803046</t>
  </si>
  <si>
    <t>ZRK00924</t>
  </si>
  <si>
    <t>448/TIA-CK-BIB/V/2026</t>
  </si>
  <si>
    <t>HD 4564</t>
  </si>
  <si>
    <t>7W803061</t>
  </si>
  <si>
    <t>ZRK00884</t>
  </si>
  <si>
    <t>449/TIA-CK-BIB/V/2026</t>
  </si>
  <si>
    <t>HD 4565</t>
  </si>
  <si>
    <t>7W803066</t>
  </si>
  <si>
    <t>ZRK00934</t>
  </si>
  <si>
    <t>450/TIA-CK-BIB/V/2026</t>
  </si>
  <si>
    <t>HD 4566</t>
  </si>
  <si>
    <t>7W803067</t>
  </si>
  <si>
    <t>ZRK00980</t>
  </si>
  <si>
    <t>451/TIA-CK-BIB/V/2026</t>
  </si>
  <si>
    <t>HD 4567</t>
  </si>
  <si>
    <t>7W803068</t>
  </si>
  <si>
    <t>ZRK01003</t>
  </si>
  <si>
    <t>452/TIA-CK-BIB/V/2026</t>
  </si>
  <si>
    <t>HD 4568</t>
  </si>
  <si>
    <t>7W803081</t>
  </si>
  <si>
    <t>ZRK00982</t>
  </si>
  <si>
    <t>453/TIA-CK-BIB/V/2026</t>
  </si>
  <si>
    <t>HD 4569</t>
  </si>
  <si>
    <t>7W803082</t>
  </si>
  <si>
    <t>ZRK00959</t>
  </si>
  <si>
    <t>454/TIA-CK-BIB/V/2026</t>
  </si>
  <si>
    <t>HD 4570</t>
  </si>
  <si>
    <t>7W803083</t>
  </si>
  <si>
    <t>ZRK00983</t>
  </si>
  <si>
    <t>455/TIA-CK-BIB/V/2026</t>
  </si>
  <si>
    <t>HD 4571</t>
  </si>
  <si>
    <t>7W803086</t>
  </si>
  <si>
    <t>ZRK00990</t>
  </si>
  <si>
    <t>456/TIA-CK-BIB/V/2026</t>
  </si>
  <si>
    <t>HD 4572</t>
  </si>
  <si>
    <t>7W803088</t>
  </si>
  <si>
    <t>ZRK00991</t>
  </si>
  <si>
    <t>457/TIA-CK-BIB/V/2026</t>
  </si>
  <si>
    <t>HD 4573</t>
  </si>
  <si>
    <t>7W803092</t>
  </si>
  <si>
    <t>ZRK00988</t>
  </si>
  <si>
    <t>458/TIA-CK-BIB/V/2026</t>
  </si>
  <si>
    <t>HD 4574</t>
  </si>
  <si>
    <t>7W803062</t>
  </si>
  <si>
    <t>ZRK00936</t>
  </si>
  <si>
    <t>459/TIA-CK-BIB/V/2026</t>
  </si>
  <si>
    <t>HD 4577</t>
  </si>
  <si>
    <t>7W803135</t>
  </si>
  <si>
    <t>ZRK01012</t>
  </si>
  <si>
    <t>460/TIA-CK-BIB/V/2026</t>
  </si>
  <si>
    <t>HD 4579</t>
  </si>
  <si>
    <t>7W803173</t>
  </si>
  <si>
    <t>ZRK01006</t>
  </si>
  <si>
    <t>461/TIA-CK-BIB/V/2026</t>
  </si>
  <si>
    <t>HD 4580</t>
  </si>
  <si>
    <t>7W803172</t>
  </si>
  <si>
    <t>ZRK01048</t>
  </si>
  <si>
    <t>462/TIA-CK-BIB/V/2026</t>
  </si>
  <si>
    <t>HD 4581</t>
  </si>
  <si>
    <t>7W803219</t>
  </si>
  <si>
    <t>ZRK01130</t>
  </si>
  <si>
    <t>463/TIA-CK-BIB/V/2026</t>
  </si>
  <si>
    <t>HD 4582</t>
  </si>
  <si>
    <t>7W803154</t>
  </si>
  <si>
    <t>ZRK01008</t>
  </si>
  <si>
    <t>464/TIA-CK-BIB/V/2026</t>
  </si>
  <si>
    <t>HD 4583</t>
  </si>
  <si>
    <t>7W803143</t>
  </si>
  <si>
    <t>ZRK01035</t>
  </si>
  <si>
    <t>465/TIA-CK-BIB/V/2026</t>
  </si>
  <si>
    <t>HD 4584</t>
  </si>
  <si>
    <t>7W803325</t>
  </si>
  <si>
    <t>ZRK01212</t>
  </si>
  <si>
    <t>466/TIA-CK-BIB/V/2026</t>
  </si>
  <si>
    <t>HD 4585</t>
  </si>
  <si>
    <t>7W803271</t>
  </si>
  <si>
    <t>ZRK01163</t>
  </si>
  <si>
    <t>467/TIA-CK-BIB/V/2026</t>
  </si>
  <si>
    <t>HD 4586</t>
  </si>
  <si>
    <t>7W803288</t>
  </si>
  <si>
    <t>ZRK01155</t>
  </si>
  <si>
    <t>468/TIA-CK-BIB/V/2026</t>
  </si>
  <si>
    <t>HD 4587</t>
  </si>
  <si>
    <t>7W803287</t>
  </si>
  <si>
    <t>ZRK01177</t>
  </si>
  <si>
    <t>469/TIA-CK-BIB/V/2026</t>
  </si>
  <si>
    <t>HD 4588</t>
  </si>
  <si>
    <t>7W803157</t>
  </si>
  <si>
    <t>ZRK01045</t>
  </si>
  <si>
    <t>470/TIA-CK-BIB/V/2026</t>
  </si>
  <si>
    <t>HD 4590</t>
  </si>
  <si>
    <t>7W803222</t>
  </si>
  <si>
    <t>ZRK01129</t>
  </si>
  <si>
    <t>471/TIA-CK-BIB/V/2026</t>
  </si>
  <si>
    <t>HD 4597</t>
  </si>
  <si>
    <t>7W803316</t>
  </si>
  <si>
    <t>ZRK01202</t>
  </si>
  <si>
    <t>472/TIA-CK-BIB/V/2026</t>
  </si>
  <si>
    <t>HD 4681</t>
  </si>
  <si>
    <t>7W803326</t>
  </si>
  <si>
    <t>ZRK01179</t>
  </si>
  <si>
    <t>473/TIA-CK-BIB/V/2026</t>
  </si>
  <si>
    <t>HD 4682</t>
  </si>
  <si>
    <t>7W803337</t>
  </si>
  <si>
    <t>ZRK01242</t>
  </si>
  <si>
    <t>474/TIA-CK-BIB/V/2026</t>
  </si>
  <si>
    <t>HD 4685</t>
  </si>
  <si>
    <t>7W803396</t>
  </si>
  <si>
    <t>ZRK01292</t>
  </si>
  <si>
    <t>475/TIA-CK-BIB/V/2026</t>
  </si>
  <si>
    <t>HD 4686</t>
  </si>
  <si>
    <t>7W803395</t>
  </si>
  <si>
    <t>ZRK01317</t>
  </si>
  <si>
    <t>476/TIA-CK-BIB/V/2026</t>
  </si>
  <si>
    <t>HD 4687</t>
  </si>
  <si>
    <t>7W804051</t>
  </si>
  <si>
    <t>ZRK01401</t>
  </si>
  <si>
    <t>477/TIA-CK-BIB/V/2026</t>
  </si>
  <si>
    <t>HD 4688</t>
  </si>
  <si>
    <t>7W804052</t>
  </si>
  <si>
    <t>ZRK01450</t>
  </si>
  <si>
    <t>478/TIA-CK-BIB/V/2026</t>
  </si>
  <si>
    <t>HD 4689</t>
  </si>
  <si>
    <t>7W804055</t>
  </si>
  <si>
    <t>ZRK01416</t>
  </si>
  <si>
    <t>479/TIA-CK-BIB/V/2026</t>
  </si>
  <si>
    <t>HD 4690</t>
  </si>
  <si>
    <t>7W804061</t>
  </si>
  <si>
    <t>ZRK01422</t>
  </si>
  <si>
    <t>480/TIA-CK-BIB/V/2026</t>
  </si>
  <si>
    <t>HD 4691</t>
  </si>
  <si>
    <t>7W804059</t>
  </si>
  <si>
    <t>ZRK01409</t>
  </si>
  <si>
    <t>481/TIA-CK-BIB/V/2026</t>
  </si>
  <si>
    <t>HD 4692</t>
  </si>
  <si>
    <t>7W804063</t>
  </si>
  <si>
    <t>ZRK01427</t>
  </si>
  <si>
    <t>482/TIA-CK-BIB/V/2026</t>
  </si>
  <si>
    <t>HD 4693</t>
  </si>
  <si>
    <t>7W804060</t>
  </si>
  <si>
    <t>ZRK01424</t>
  </si>
  <si>
    <t>483/TIA-CK-BIB/V/2026</t>
  </si>
  <si>
    <t>HD 4694</t>
  </si>
  <si>
    <t>7W804064</t>
  </si>
  <si>
    <t>ZRK01428</t>
  </si>
  <si>
    <t>777E</t>
  </si>
  <si>
    <t>484/TIA-CK-BIB/V/2026</t>
  </si>
  <si>
    <t>HD 4178</t>
  </si>
  <si>
    <t>KDP01352</t>
  </si>
  <si>
    <t>DLT01484</t>
  </si>
  <si>
    <t>485/TIA-CK-BIB/V/2026</t>
  </si>
  <si>
    <t>HD 4174</t>
  </si>
  <si>
    <t>KDP01349</t>
  </si>
  <si>
    <t>DLT01422</t>
  </si>
  <si>
    <t>486/TIA-CK-BIB/V/2026</t>
  </si>
  <si>
    <t>HD 4542</t>
  </si>
  <si>
    <t>7W802918</t>
  </si>
  <si>
    <t>ZRK00566</t>
  </si>
  <si>
    <t>487/TIA-CK-BIB/V/2026</t>
  </si>
  <si>
    <t>HD 4541</t>
  </si>
  <si>
    <t>7W802914</t>
  </si>
  <si>
    <t>ZRK00811</t>
  </si>
  <si>
    <t>488/TIA-CK-BIB/V/2026</t>
  </si>
  <si>
    <t>HD 4183</t>
  </si>
  <si>
    <t>KDP01357</t>
  </si>
  <si>
    <t>DLT01500</t>
  </si>
  <si>
    <t>489/TIA-CK-BIB/V/2026</t>
  </si>
  <si>
    <t>HD 4176</t>
  </si>
  <si>
    <t>KDP01299</t>
  </si>
  <si>
    <t>DLT01375</t>
  </si>
  <si>
    <t>490/TIA-CK-BIB/V/2026</t>
  </si>
  <si>
    <t>HD 4173</t>
  </si>
  <si>
    <t>KDP01345</t>
  </si>
  <si>
    <t>DLT01419</t>
  </si>
  <si>
    <t>491/TIA-CK-BIB/V/2026</t>
  </si>
  <si>
    <t>HD 4170</t>
  </si>
  <si>
    <t>KDP01338</t>
  </si>
  <si>
    <t>DLT01411</t>
  </si>
  <si>
    <t>492/TIA-CK-BIB/V/2026</t>
  </si>
  <si>
    <t>HD 4171</t>
  </si>
  <si>
    <t>KDP01343</t>
  </si>
  <si>
    <t>DLT01417</t>
  </si>
  <si>
    <t>493/TIA-CK-BIB/V/2026</t>
  </si>
  <si>
    <t>HD 4518</t>
  </si>
  <si>
    <t>7W802829</t>
  </si>
  <si>
    <t>ZRK00758</t>
  </si>
  <si>
    <t>494/TIA-CK-BIB/V/2026</t>
  </si>
  <si>
    <t>HD 4412</t>
  </si>
  <si>
    <t>KYD00278</t>
  </si>
  <si>
    <t>FZS01862</t>
  </si>
  <si>
    <t>495/TIA-CK-BIB/V/2026</t>
  </si>
  <si>
    <t>HD 4413</t>
  </si>
  <si>
    <t>KYD00279</t>
  </si>
  <si>
    <t>FZS01863</t>
  </si>
  <si>
    <t>496/TIA-CK-BIB/V/2026</t>
  </si>
  <si>
    <t>HD 4513</t>
  </si>
  <si>
    <t>7W802792</t>
  </si>
  <si>
    <t>497/TIA-CK-BIB/V/2026</t>
  </si>
  <si>
    <t>HD 4462</t>
  </si>
  <si>
    <t>7W802523</t>
  </si>
  <si>
    <t xml:space="preserve">ZRK00388 </t>
  </si>
  <si>
    <t>777D</t>
  </si>
  <si>
    <t>498/TIA-CK-BIB/V/2026</t>
  </si>
  <si>
    <t>HD 4315</t>
  </si>
  <si>
    <t>3PR00992</t>
  </si>
  <si>
    <t>C8T01884</t>
  </si>
  <si>
    <t>499/TIA-CK-BIB/V/2026</t>
  </si>
  <si>
    <t>HD 4317</t>
  </si>
  <si>
    <t>3PR77003</t>
  </si>
  <si>
    <t>2GR06072</t>
  </si>
  <si>
    <t>500/TIA-CK-BIB/V/2026</t>
  </si>
  <si>
    <t>HD 4392</t>
  </si>
  <si>
    <t>FKR01789</t>
  </si>
  <si>
    <t>C8T01989</t>
  </si>
  <si>
    <t>501/TIA-CK-BIB/V/2026</t>
  </si>
  <si>
    <t>HD 4401</t>
  </si>
  <si>
    <t>FKR02048</t>
  </si>
  <si>
    <t>C8T02177</t>
  </si>
  <si>
    <t>Water Truck</t>
  </si>
  <si>
    <t>548/TIA-CK-BIB/VIII/2025</t>
  </si>
  <si>
    <t>WT 6011</t>
  </si>
  <si>
    <t>PRB01443</t>
  </si>
  <si>
    <t>NTE01672</t>
  </si>
  <si>
    <t>549/TIA-CK-BIB/VIII/2025</t>
  </si>
  <si>
    <t>WT 6018</t>
  </si>
  <si>
    <t>PRB01458</t>
  </si>
  <si>
    <t>NTE01684</t>
  </si>
  <si>
    <t>582/TIA-CK-BIB/V/2026</t>
  </si>
  <si>
    <t>HD 4509</t>
  </si>
  <si>
    <t>7W802783</t>
  </si>
  <si>
    <t>FTB00316</t>
  </si>
  <si>
    <t>583/TIA-CK-BIB/V/2026</t>
  </si>
  <si>
    <t>HD 4507</t>
  </si>
  <si>
    <t>7W802738</t>
  </si>
  <si>
    <t xml:space="preserve">ZRK00672 </t>
  </si>
  <si>
    <t>584/TIA-CK-BIB/V/2026</t>
  </si>
  <si>
    <t>HD 4505</t>
  </si>
  <si>
    <t>7W802741</t>
  </si>
  <si>
    <t xml:space="preserve">ZRK00692 </t>
  </si>
  <si>
    <t>585/TIA-CK-BIB/V/2026</t>
  </si>
  <si>
    <t>HD 4501</t>
  </si>
  <si>
    <t>7W802714</t>
  </si>
  <si>
    <t>ZRK00703</t>
  </si>
  <si>
    <t>586/TIA-CK-BIB/V/2026</t>
  </si>
  <si>
    <t>HD 4445</t>
  </si>
  <si>
    <t>KYD02846</t>
  </si>
  <si>
    <t>ZRK00301</t>
  </si>
  <si>
    <t>587/TIA-CK-BIB/V/2026</t>
  </si>
  <si>
    <t>HD 4548</t>
  </si>
  <si>
    <t>7W802964</t>
  </si>
  <si>
    <t xml:space="preserve">ZRK000846 </t>
  </si>
  <si>
    <t>588/TIA-CK-BIB/V/2026</t>
  </si>
  <si>
    <t>HD 4441</t>
  </si>
  <si>
    <t>KYD02839</t>
  </si>
  <si>
    <t>ZRK00303</t>
  </si>
  <si>
    <t>589/TIA-CK-BIB/V/2026</t>
  </si>
  <si>
    <t>HD 4470</t>
  </si>
  <si>
    <t>7W802557</t>
  </si>
  <si>
    <t>ZRK00446</t>
  </si>
  <si>
    <t>773D-WT-NBJ</t>
  </si>
  <si>
    <t>611/TIA-CK-BIB/VI/2026</t>
  </si>
  <si>
    <t>WT 6009</t>
  </si>
  <si>
    <t>0NBJ00210</t>
  </si>
  <si>
    <t>1KR00208</t>
  </si>
  <si>
    <t>612/TIA-CK-BIB/VI/2026</t>
  </si>
  <si>
    <t>WT 6010</t>
  </si>
  <si>
    <t>NTE01643</t>
  </si>
  <si>
    <t>617/TIA-CK-BIB/VI/2026</t>
  </si>
  <si>
    <t>HD 4535</t>
  </si>
  <si>
    <t>7W802911</t>
  </si>
  <si>
    <t>ZRK00619</t>
  </si>
  <si>
    <t>618/TIA-CK-BIB/VI/2026</t>
  </si>
  <si>
    <t>HD 4473</t>
  </si>
  <si>
    <t>7W802584</t>
  </si>
  <si>
    <t>ZRK00421</t>
  </si>
  <si>
    <t>619/TIA-CK-BIB/VI/2026</t>
  </si>
  <si>
    <t>HD 4420</t>
  </si>
  <si>
    <t>KYD02638</t>
  </si>
  <si>
    <t>TZB00317</t>
  </si>
  <si>
    <t>620/TIA-CK-BIB/VI/2026</t>
  </si>
  <si>
    <t>HD 4468</t>
  </si>
  <si>
    <t>7W802550</t>
  </si>
  <si>
    <t>ZRK00502</t>
  </si>
  <si>
    <t>621/TIA-CK-BIB/VI/2026</t>
  </si>
  <si>
    <t>HD 4469</t>
  </si>
  <si>
    <t>7W802556</t>
  </si>
  <si>
    <t>ZRK00449</t>
  </si>
  <si>
    <t>622/TIA-CK-BIB/VI/2026</t>
  </si>
  <si>
    <t>HD 2047</t>
  </si>
  <si>
    <t>BDA00495</t>
  </si>
  <si>
    <t>KPH00130</t>
  </si>
  <si>
    <t>623/TIA-CK-BIB/VI/2026</t>
  </si>
  <si>
    <t>HD 2093</t>
  </si>
  <si>
    <t>BDA00972</t>
  </si>
  <si>
    <t>KPH00368</t>
  </si>
  <si>
    <t>624/TIA-CK-BIB/VI/2026</t>
  </si>
  <si>
    <t>HD 2220</t>
  </si>
  <si>
    <t>PRB00417</t>
  </si>
  <si>
    <t>NTE00520</t>
  </si>
  <si>
    <t>625/TIA-CK-BIB/VI/2026</t>
  </si>
  <si>
    <t>HD 2223</t>
  </si>
  <si>
    <t>PRB00425</t>
  </si>
  <si>
    <t>NTE00529</t>
  </si>
  <si>
    <t>626/TIA-CK-BIB/VI/2026</t>
  </si>
  <si>
    <t>HD 2235</t>
  </si>
  <si>
    <t>PRB00447</t>
  </si>
  <si>
    <t>NTE00557</t>
  </si>
  <si>
    <t>627/TIA-CK-BIB/VI/2026</t>
  </si>
  <si>
    <t>HD 2236</t>
  </si>
  <si>
    <t>PRB00448</t>
  </si>
  <si>
    <t>NTE00555</t>
  </si>
  <si>
    <t>628/TIA-CK-BIB/VI/2026</t>
  </si>
  <si>
    <t>HD 2238</t>
  </si>
  <si>
    <t>PRB00742</t>
  </si>
  <si>
    <t>NTE00898</t>
  </si>
  <si>
    <t>629/TIA-CK-BIB/VI/2026</t>
  </si>
  <si>
    <t>HD 2239</t>
  </si>
  <si>
    <t>PRB00741</t>
  </si>
  <si>
    <t>NTE00833</t>
  </si>
  <si>
    <t>630/TIA-CK-BIB/VI/2026</t>
  </si>
  <si>
    <t>HD 2240</t>
  </si>
  <si>
    <t>PRB00740</t>
  </si>
  <si>
    <t>NTE00895</t>
  </si>
  <si>
    <t>631/TIA-CK-BIB/VI/2026</t>
  </si>
  <si>
    <t>HD 2242</t>
  </si>
  <si>
    <t>PRB00731</t>
  </si>
  <si>
    <t>NTE00890</t>
  </si>
  <si>
    <t>632/TIA-CK-BIB/VI/2026</t>
  </si>
  <si>
    <t>HD 2243</t>
  </si>
  <si>
    <t>PRB00730</t>
  </si>
  <si>
    <t>NTE00888</t>
  </si>
  <si>
    <t>633/TIA-CK-BIB/VI/2026</t>
  </si>
  <si>
    <t>HD 2244</t>
  </si>
  <si>
    <t>PRB00729</t>
  </si>
  <si>
    <t>NTE00884</t>
  </si>
  <si>
    <t>634/TIA-CK-BIB/VI/2026</t>
  </si>
  <si>
    <t>HD 2253</t>
  </si>
  <si>
    <t>PRB00984</t>
  </si>
  <si>
    <t>NTE01161</t>
  </si>
  <si>
    <t>635/TIA-CK-BIB/VI/2026</t>
  </si>
  <si>
    <t>HD 2279</t>
  </si>
  <si>
    <t>ASK00521</t>
  </si>
  <si>
    <t>KPH0678</t>
  </si>
  <si>
    <t>636/TIA-CK-BIB/VI/2026</t>
  </si>
  <si>
    <t>HD 2326</t>
  </si>
  <si>
    <t>ASK00781</t>
  </si>
  <si>
    <t>KPH00896</t>
  </si>
  <si>
    <t>637/TIA-CK-BIB/VI/2026</t>
  </si>
  <si>
    <t>HD 2337</t>
  </si>
  <si>
    <t>ASK00948</t>
  </si>
  <si>
    <t>638/TIA-CK-BIB/VI/2026</t>
  </si>
  <si>
    <t>HD 2340</t>
  </si>
  <si>
    <t>ASK00813</t>
  </si>
  <si>
    <t>NTE00173</t>
  </si>
  <si>
    <t>639/TIA-CK-BIB/VI/2026</t>
  </si>
  <si>
    <t>HD 2349</t>
  </si>
  <si>
    <t>ASK00850</t>
  </si>
  <si>
    <t>KPH00970</t>
  </si>
  <si>
    <t>640/TIA-CK-BIB/VI/2026</t>
  </si>
  <si>
    <t>HD 2351</t>
  </si>
  <si>
    <t>ASK00852</t>
  </si>
  <si>
    <t>KPH00530</t>
  </si>
  <si>
    <t>641/TIA-CK-BIB/VI/2026</t>
  </si>
  <si>
    <t>HD 2378</t>
  </si>
  <si>
    <t>PRB00671</t>
  </si>
  <si>
    <t>NTE00825</t>
  </si>
  <si>
    <t>642/TIA-CK-BIB/VI/2026</t>
  </si>
  <si>
    <t>HD 2379</t>
  </si>
  <si>
    <t>PRB00672</t>
  </si>
  <si>
    <t>NTE00826</t>
  </si>
  <si>
    <t>643/TIA-CK-BIB/VI/2026</t>
  </si>
  <si>
    <t>HD 2380</t>
  </si>
  <si>
    <t>PRB00684</t>
  </si>
  <si>
    <t>NTE00840</t>
  </si>
  <si>
    <t>644/TIA-CK-BIB/VI/2026</t>
  </si>
  <si>
    <t>HD 2381</t>
  </si>
  <si>
    <t>PRB00685</t>
  </si>
  <si>
    <t>NTE00842</t>
  </si>
  <si>
    <t>645/TIA-CK-BIB/VI/2026</t>
  </si>
  <si>
    <t>HD 2464</t>
  </si>
  <si>
    <t>PRB01448</t>
  </si>
  <si>
    <t>4FY07720</t>
  </si>
  <si>
    <t>646/TIA-CK-BIB/VI/2026</t>
  </si>
  <si>
    <t>HD 2466</t>
  </si>
  <si>
    <t>TASK00326</t>
  </si>
  <si>
    <t>KPH00325</t>
  </si>
  <si>
    <t>647/TIA-CK-BIB/VI/2026</t>
  </si>
  <si>
    <t>HD 2467</t>
  </si>
  <si>
    <t>PRB01453</t>
  </si>
  <si>
    <t>NTE01680</t>
  </si>
  <si>
    <t>648/TIA-CK-BIB/VI/2026</t>
  </si>
  <si>
    <t>HD 2468</t>
  </si>
  <si>
    <t>PRB01456</t>
  </si>
  <si>
    <t>NTE01687</t>
  </si>
  <si>
    <t>CATERPILAR</t>
  </si>
  <si>
    <t>668/TIA-CK-BIB/VI/2026</t>
  </si>
  <si>
    <t>HD 4668</t>
  </si>
  <si>
    <t>7W803323</t>
  </si>
  <si>
    <t>ZRK01173</t>
  </si>
  <si>
    <t>669/TIA-CK-BIB/VI/2026</t>
  </si>
  <si>
    <t>HD 4673</t>
  </si>
  <si>
    <t>7W803391</t>
  </si>
  <si>
    <t xml:space="preserve">	ZRK01323</t>
  </si>
  <si>
    <t>670/TIA-CK-BIB/VI/2026</t>
  </si>
  <si>
    <t>HD 4674</t>
  </si>
  <si>
    <t>7W803390</t>
  </si>
  <si>
    <t xml:space="preserve">	ZRK01291</t>
  </si>
  <si>
    <t>671/TIA-CK-BIB/VI/2026</t>
  </si>
  <si>
    <t>HD 4675</t>
  </si>
  <si>
    <t>7W803394</t>
  </si>
  <si>
    <t xml:space="preserve">	ZRK01261</t>
  </si>
  <si>
    <t>672/TIA-CK-BIB/VI/2026</t>
  </si>
  <si>
    <t>HD 4676</t>
  </si>
  <si>
    <t>7W803392</t>
  </si>
  <si>
    <t>ZRK01296</t>
  </si>
  <si>
    <t>673/TIA-CK-BIB/VI/2026</t>
  </si>
  <si>
    <t>HD 4677</t>
  </si>
  <si>
    <t>7W803393</t>
  </si>
  <si>
    <t>ZRK01267</t>
  </si>
  <si>
    <t>674/TIA-CK-BIB/VI/2026</t>
  </si>
  <si>
    <t>HD 4678</t>
  </si>
  <si>
    <t>7W803383</t>
  </si>
  <si>
    <t>ZRK01286</t>
  </si>
  <si>
    <t>675/TIA-CK-BIB/VI/2026</t>
  </si>
  <si>
    <t>HD 4679</t>
  </si>
  <si>
    <t>7W803382</t>
  </si>
  <si>
    <t>ZRK01253</t>
  </si>
  <si>
    <t>676/TIA-CK-BIB/VI/2026</t>
  </si>
  <si>
    <t>HD 4680</t>
  </si>
  <si>
    <t>7W803294</t>
  </si>
  <si>
    <t>ZRK01174</t>
  </si>
  <si>
    <t>677/TIA-CK-BIB/VI/2026</t>
  </si>
  <si>
    <t>HD 4683</t>
  </si>
  <si>
    <t>7W803324</t>
  </si>
  <si>
    <t>ZRK01214</t>
  </si>
  <si>
    <t>678/TIA-CK-BIB/VI/2026</t>
  </si>
  <si>
    <t>HD 4684</t>
  </si>
  <si>
    <t>7W803384</t>
  </si>
  <si>
    <t>ZRK01275</t>
  </si>
  <si>
    <t>679/TIA-CK-BIB/VI/2026</t>
  </si>
  <si>
    <t>HD 4467</t>
  </si>
  <si>
    <t>7W802551</t>
  </si>
  <si>
    <t>ZRK003443</t>
  </si>
  <si>
    <t>680/TIA-CK-BIB/VI/2026</t>
  </si>
  <si>
    <t>HD 4502</t>
  </si>
  <si>
    <t>7W802722</t>
  </si>
  <si>
    <t>ZRK00712</t>
  </si>
  <si>
    <t>681/TIA-CK-BIB/VI/2026</t>
  </si>
  <si>
    <t>HD 4512</t>
  </si>
  <si>
    <t>7W802768</t>
  </si>
  <si>
    <t>ZRK00733</t>
  </si>
  <si>
    <t>682/TIA-CK-BIB/VI/2026</t>
  </si>
  <si>
    <t>HD 4544</t>
  </si>
  <si>
    <t>7W82916</t>
  </si>
  <si>
    <t>ZRK00590</t>
  </si>
  <si>
    <t>683/TIA-CK-BIB/VI/2026</t>
  </si>
  <si>
    <t>HD 4545</t>
  </si>
  <si>
    <t>7W802919</t>
  </si>
  <si>
    <t>ZRK00597</t>
  </si>
  <si>
    <t>684/TIA-CK-BIB/VI/2026</t>
  </si>
  <si>
    <t>HD 4172</t>
  </si>
  <si>
    <t>KDP01344</t>
  </si>
  <si>
    <t>DLT01416</t>
  </si>
  <si>
    <t>685/TIA-CK-BIB/VI/2026</t>
  </si>
  <si>
    <t>HD 4543</t>
  </si>
  <si>
    <t>7W802917</t>
  </si>
  <si>
    <t>ZRK00593</t>
  </si>
  <si>
    <t>686/TIA-CK-BIB/VI/2026</t>
  </si>
  <si>
    <t>HD 4411</t>
  </si>
  <si>
    <t>KKYD00277</t>
  </si>
  <si>
    <t>FZS01867</t>
  </si>
  <si>
    <t>687/TIA-CK-BIB/VI/2026</t>
  </si>
  <si>
    <t>HD 4459</t>
  </si>
  <si>
    <t>7W802520</t>
  </si>
  <si>
    <t>ZRK00335</t>
  </si>
  <si>
    <t>688/TIA-CK-BIB/VI/2026</t>
  </si>
  <si>
    <t>HD 4461</t>
  </si>
  <si>
    <t>ZRK00349</t>
  </si>
  <si>
    <t>689/TIA-CK-BIB/VI/2026</t>
  </si>
  <si>
    <t>HD 4463</t>
  </si>
  <si>
    <t>7W802524</t>
  </si>
  <si>
    <t>ZW7W802524</t>
  </si>
  <si>
    <t>690/TIA-CK-BIB/VI/2026</t>
  </si>
  <si>
    <t>HD 4670</t>
  </si>
  <si>
    <t>AKD00463</t>
  </si>
  <si>
    <t>FZ802046</t>
  </si>
  <si>
    <t>691/TIA-CK-BIB/VI/2026</t>
  </si>
  <si>
    <t>HD 4549</t>
  </si>
  <si>
    <t>7W802965</t>
  </si>
  <si>
    <t>ZRK00877</t>
  </si>
  <si>
    <t>692/TIA-CK-BIB/VI/2026</t>
  </si>
  <si>
    <t>HD 4488</t>
  </si>
  <si>
    <t>7W802639</t>
  </si>
  <si>
    <t>ZRK00605</t>
  </si>
  <si>
    <t>726/TIA-CK-BIB/I/2026</t>
  </si>
  <si>
    <t>HD 4464</t>
  </si>
  <si>
    <t>7W802525</t>
  </si>
  <si>
    <t>ZRK00350</t>
  </si>
  <si>
    <t>727/TIA-CK-BIB/I/2026</t>
  </si>
  <si>
    <t>HD 4449</t>
  </si>
  <si>
    <t>7W802518</t>
  </si>
  <si>
    <t>FTB00307</t>
  </si>
  <si>
    <t>728/TIA-CK-BIB/I/2026</t>
  </si>
  <si>
    <t>HD 4437</t>
  </si>
  <si>
    <t>KYD02835</t>
  </si>
  <si>
    <t>ZRK00288</t>
  </si>
  <si>
    <t>729/TIA-CK-BIB/I/2026</t>
  </si>
  <si>
    <t>HD 4451</t>
  </si>
  <si>
    <t>7W802532</t>
  </si>
  <si>
    <t>ZRK00432</t>
  </si>
  <si>
    <t>730/TIA-CK-BIB/I/2026</t>
  </si>
  <si>
    <t>HD 4431</t>
  </si>
  <si>
    <t>KYD02749</t>
  </si>
  <si>
    <t>ZRK00223</t>
  </si>
  <si>
    <t>HD 4500</t>
  </si>
  <si>
    <t>7W802716</t>
  </si>
  <si>
    <t>ZRK00700</t>
  </si>
  <si>
    <t>769/TIA-CK-BIB/III/2026</t>
  </si>
  <si>
    <t>HD 4439</t>
  </si>
  <si>
    <t>KYD02836</t>
  </si>
  <si>
    <t>ZRK00318</t>
  </si>
  <si>
    <t>770/TIA-CK-BIB/III/2026</t>
  </si>
  <si>
    <t>HD 4497</t>
  </si>
  <si>
    <t>7W802665</t>
  </si>
  <si>
    <t>ZRK00564</t>
  </si>
  <si>
    <t>771/TIA-CK-BIB/III/2026</t>
  </si>
  <si>
    <t>HD 4424</t>
  </si>
  <si>
    <t>KYD02637</t>
  </si>
  <si>
    <t>ZRK00126</t>
  </si>
  <si>
    <t>772/TIA-CK-BIB/III/2026</t>
  </si>
  <si>
    <t>HD 4423</t>
  </si>
  <si>
    <t>KYD02636</t>
  </si>
  <si>
    <t>ZRK00102</t>
  </si>
  <si>
    <t>773/TIA-CK-BIB/III/2026</t>
  </si>
  <si>
    <t>HD 4452</t>
  </si>
  <si>
    <t>7W802533</t>
  </si>
  <si>
    <t>ZRK00386</t>
  </si>
  <si>
    <t>774/TIA-CK-BIB/III/2026</t>
  </si>
  <si>
    <t>HD 4472</t>
  </si>
  <si>
    <t>7W802583</t>
  </si>
  <si>
    <t>ZRK00448</t>
  </si>
  <si>
    <t>775/TIA-CK-BIB/III/2026</t>
  </si>
  <si>
    <t>HD 4514</t>
  </si>
  <si>
    <t>7W802833</t>
  </si>
  <si>
    <t>ZRK00780</t>
  </si>
  <si>
    <t>776/TIA-CK-BIB/III/2026</t>
  </si>
  <si>
    <t>HD 4475</t>
  </si>
  <si>
    <t>7W802562</t>
  </si>
  <si>
    <t>ZRK00509</t>
  </si>
  <si>
    <t>777/TIA-CK-BIB/III/2026</t>
  </si>
  <si>
    <t>HD 4453</t>
  </si>
  <si>
    <t>7W802534</t>
  </si>
  <si>
    <t>ZRK00442</t>
  </si>
  <si>
    <t>778/TIA-CK-BIB/III/2026</t>
  </si>
  <si>
    <t>HD 4422</t>
  </si>
  <si>
    <t>KYD02657</t>
  </si>
  <si>
    <t>FTB00193</t>
  </si>
  <si>
    <t>779/TIA-CK-BIB/III/2026</t>
  </si>
  <si>
    <t>HD 4454</t>
  </si>
  <si>
    <t>7W802535</t>
  </si>
  <si>
    <t>ZRK00354</t>
  </si>
  <si>
    <t>780/TIA-CK-BIB/III/2026</t>
  </si>
  <si>
    <t>HD 4410</t>
  </si>
  <si>
    <t>KYD00262</t>
  </si>
  <si>
    <t>FZS01831</t>
  </si>
  <si>
    <t>781/TIA-CK-BIB/III/2026</t>
  </si>
  <si>
    <t>HD 4456</t>
  </si>
  <si>
    <t>7W802546</t>
  </si>
  <si>
    <t>ZRK00454</t>
  </si>
  <si>
    <t>782/TIA-CK-BIB/III/2026</t>
  </si>
  <si>
    <t>HD 4455</t>
  </si>
  <si>
    <t>7W802545</t>
  </si>
  <si>
    <t>ZRK00129</t>
  </si>
  <si>
    <t>783/TIA-CK-BIB/III/2026</t>
  </si>
  <si>
    <t>HD 4457</t>
  </si>
  <si>
    <t>7W802548</t>
  </si>
  <si>
    <t>ZRK00387</t>
  </si>
  <si>
    <t>784/TIA-CK-BIB/III/2026</t>
  </si>
  <si>
    <t>HD 4339</t>
  </si>
  <si>
    <t>FKR01755</t>
  </si>
  <si>
    <t>C8T01854</t>
  </si>
  <si>
    <t>785/TIA-CK-BIB/III/2026</t>
  </si>
  <si>
    <t>HD 4316</t>
  </si>
  <si>
    <t>3PR77002</t>
  </si>
  <si>
    <t>2GR01929</t>
  </si>
  <si>
    <t>786/TIA-CK-BIB/III/2026</t>
  </si>
  <si>
    <t>HD 4494</t>
  </si>
  <si>
    <t>7W802641</t>
  </si>
  <si>
    <t>ZRK00599</t>
  </si>
  <si>
    <t>787/TIA-CK-BIB/III/2026</t>
  </si>
  <si>
    <t>HD 4547</t>
  </si>
  <si>
    <t>7W802963</t>
  </si>
  <si>
    <t>ZRK00874</t>
  </si>
  <si>
    <t>788/TIA-CK-BIB/III/2026</t>
  </si>
  <si>
    <t>HD 4493</t>
  </si>
  <si>
    <t>ZRK00430</t>
  </si>
  <si>
    <t>789/TIA-CK-BIB/III/2026</t>
  </si>
  <si>
    <t>HD 4442</t>
  </si>
  <si>
    <t>KYD02840</t>
  </si>
  <si>
    <t>ZRK00277</t>
  </si>
  <si>
    <t>790/TIA-CK-BIB/III/2026</t>
  </si>
  <si>
    <t>HD 4489</t>
  </si>
  <si>
    <t>7W802640</t>
  </si>
  <si>
    <t>ZRK00598</t>
  </si>
  <si>
    <t>791/TIA-CK-BIB/III/2026</t>
  </si>
  <si>
    <t>HD 4492</t>
  </si>
  <si>
    <t>7W802613</t>
  </si>
  <si>
    <t>ZRK00469</t>
  </si>
  <si>
    <t>792/TIA-CK-BIB/III/2026</t>
  </si>
  <si>
    <t>HD 4491</t>
  </si>
  <si>
    <t>7W802612</t>
  </si>
  <si>
    <t>ZRK00490</t>
  </si>
  <si>
    <t>793/TIA-CK-BIB/III/2026</t>
  </si>
  <si>
    <t>HD 2200</t>
  </si>
  <si>
    <t>ASK00124</t>
  </si>
  <si>
    <t>KPH00330</t>
  </si>
  <si>
    <t>794/TIA-CK-BIB/III/2026</t>
  </si>
  <si>
    <t>HD 4536</t>
  </si>
  <si>
    <t>7W802913</t>
  </si>
  <si>
    <t>ZRK00375</t>
  </si>
  <si>
    <t>795/TIA-CK-BIB/III/2026</t>
  </si>
  <si>
    <t>HD 4671</t>
  </si>
  <si>
    <t>KYD00464</t>
  </si>
  <si>
    <t>FZS02060</t>
  </si>
  <si>
    <t>796/TIA-CK-BIB/III/2026</t>
  </si>
  <si>
    <t>HD 4659</t>
  </si>
  <si>
    <t>7W803039</t>
  </si>
  <si>
    <t>ZRK00912</t>
  </si>
  <si>
    <t>797/TIA-CK-BIB/III/2026</t>
  </si>
  <si>
    <t>HD 4458</t>
  </si>
  <si>
    <t>7W802547</t>
  </si>
  <si>
    <t>ZRK00360</t>
  </si>
  <si>
    <t>798/TIA-CK-BIB/III/2026</t>
  </si>
  <si>
    <t>HD 4657</t>
  </si>
  <si>
    <t>7W803037</t>
  </si>
  <si>
    <t>ZRK00914</t>
  </si>
  <si>
    <t>799/TIA-CK-BIB/III/2026</t>
  </si>
  <si>
    <t>HD 4409</t>
  </si>
  <si>
    <t>KYD00231</t>
  </si>
  <si>
    <t>FZS01813</t>
  </si>
  <si>
    <t>800/TIA-CK-BIB/III/2026</t>
  </si>
  <si>
    <t>HD 4672</t>
  </si>
  <si>
    <t>KYD00465</t>
  </si>
  <si>
    <t>FZS02100</t>
  </si>
  <si>
    <t>801/TIA-CK-BIB/III/2026</t>
  </si>
  <si>
    <t>HD 4660</t>
  </si>
  <si>
    <t>7W803040</t>
  </si>
  <si>
    <t>ZRK00939</t>
  </si>
  <si>
    <t>WT 6015</t>
  </si>
  <si>
    <t>DLS01438</t>
  </si>
  <si>
    <t>LJK01512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</si>
</sst>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>
    <font>
      <sz val="10"/>
      <name val="Arial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 "/>
    </font>
    <font>
      <sz val="10"/>
      <color theme="1"/>
      <name val="Arial"/>
      <family val="2"/>
      <charset val="1"/>
    </font>
    <font>
      <sz val="10"/>
      <color theme="1"/>
      <name val="Arial 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5" fillId="2" borderId="23" xfId="2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23" xfId="3" applyNumberFormat="1" applyFont="1" applyFill="1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/>
    </xf>
    <xf numFmtId="1" fontId="2" fillId="2" borderId="23" xfId="4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5" fillId="2" borderId="23" xfId="2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5" fillId="2" borderId="23" xfId="3" applyNumberFormat="1" applyFont="1" applyFill="1" applyBorder="1" applyAlignment="1">
      <alignment horizontal="center" vertical="center"/>
    </xf>
    <xf numFmtId="0" fontId="2" fillId="2" borderId="23" xfId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24" xfId="2" applyFont="1" applyFill="1" applyBorder="1" applyAlignment="1">
      <alignment horizontal="center" vertical="center" wrapText="1"/>
    </xf>
    <xf numFmtId="0" fontId="5" fillId="2" borderId="23" xfId="5" applyFont="1" applyFill="1" applyBorder="1" applyAlignment="1">
      <alignment horizontal="center" vertical="top"/>
    </xf>
    <xf numFmtId="0" fontId="6" fillId="2" borderId="2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7" fillId="2" borderId="23" xfId="2" applyFont="1" applyFill="1" applyBorder="1" applyAlignment="1">
      <alignment horizontal="center" vertical="center" wrapText="1"/>
    </xf>
    <xf numFmtId="0" fontId="7" fillId="2" borderId="23" xfId="2" applyFont="1" applyFill="1" applyBorder="1" applyAlignment="1">
      <alignment horizontal="center" vertical="center"/>
    </xf>
    <xf numFmtId="0" fontId="7" fillId="2" borderId="23" xfId="3" applyNumberFormat="1" applyFont="1" applyFill="1" applyBorder="1" applyAlignment="1">
      <alignment horizontal="center" vertical="center"/>
    </xf>
    <xf numFmtId="164" fontId="6" fillId="2" borderId="23" xfId="0" applyNumberFormat="1" applyFont="1" applyFill="1" applyBorder="1" applyAlignment="1">
      <alignment horizontal="center" vertical="center"/>
    </xf>
    <xf numFmtId="1" fontId="6" fillId="2" borderId="23" xfId="4" applyNumberFormat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23" xfId="5" applyFont="1" applyFill="1" applyBorder="1" applyAlignment="1">
      <alignment horizontal="center" vertical="center"/>
    </xf>
    <xf numFmtId="0" fontId="5" fillId="0" borderId="23" xfId="5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4" fillId="0" borderId="14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</cellXfs>
  <cellStyles count="6">
    <cellStyle name="Normal" xfId="0" builtinId="0"/>
    <cellStyle name="Normal 13" xfId="1" xr:uid="{406A2FCA-59FA-4A7E-AB08-5343D1B37DC4}"/>
    <cellStyle name="Normal 2 10" xfId="2" xr:uid="{7A395219-CB71-4955-BFBD-18F94A7D0029}"/>
    <cellStyle name="Normal 3" xfId="4" xr:uid="{A86AF3F8-9055-49FC-B4A8-381777E41600}"/>
    <cellStyle name="Normal 4" xfId="5" xr:uid="{25EF0474-98FE-40FC-853F-0D17B82ACE50}"/>
    <cellStyle name="Percent 2" xfId="3" xr:uid="{2E7039B2-EBBC-4B1B-AC44-DBF28EF64229}"/>
  </cellStyles>
  <dxfs count="5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38100</xdr:rowOff>
    </xdr:from>
    <xdr:to>
      <xdr:col>2</xdr:col>
      <xdr:colOff>1323975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00025"/>
          <a:ext cx="15621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342900</xdr:colOff>
          <xdr:row>1</xdr:row>
          <xdr:rowOff>0</xdr:rowOff>
        </xdr:from>
        <xdr:to>
          <xdr:col>16</xdr:col>
          <xdr:colOff>1371600</xdr:colOff>
          <xdr:row>1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VAIO\Documents\SHE%20-%20Sungai%20Danau\SHE%20progress%20Jul'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1\15%20Mart'05%20sd%2015%20April'05\Ajir-ABK-%20File\Petty%20Cash\PC-Thn%202005\15%20Feb'05%20sd%2015%20Mart'05\Ajir-ABK-%20File\Petty%20Cash\PC-Thn%202004\Nov'04%20sd%20Dec'04\From%20Old%20Harddisk\GROUP-RPTING\2003\MGMRPT%204THQ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by\payroll$\PETTY%20CASH\TAHUN%202005\15%20JULY-15%20AGUSTUS%20%20'05\PC%20KBM%2015%20Jul-15%20Aug%20'05%20(heryo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1\15%20Mart'05%20sd%2015%20April'05\Ajir-ABK-%20File\Petty%20Cash\PC-Thn%202005\15%20Jan'05%20sd%2015%20Feb'05\PC%2015%20Jan'05%20sd%2015%20Feb%20'05%20(sending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vin\ck-kbm$\NEW%20PAYROLL\TAHUN%202009\J.%20OKT%20'09\Departemen\OPERATION%20DE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-HOF-NT12\Marccore\GATOT\Cost%20Analysis\Budget%20developer\D400E%20II%20-%208PS%20ADAR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ADMINI~1\LOCALS~1\Temp\notes6030C8\20080310\20080303\Infomine%20Antareja\Daily%20Gang\Daily%20Gang%20March\Daily%20Gang%2022-28%20March%202007%20(%20ATR%20)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by\payroll$\Lisda%201\Budget\Copy%20of%20PC%2015%20Jan'05%20sd%2015%20Feb%20'05%20(sending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friawati.BERAU.000\Local%20Settings\Temporary%20Internet%20Files\OLK5F\Data%20of%20Summary%20Report%20All%20until%20%202006%20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%20DAILY%20GANG%20JELAMU\DAILY%20GANG%202007\C.March%202007\Daily%20Gang%20Jelamu%2022%20-%2028%20March%2020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lfian%20Fikriansyah\Application%20Data\Microsoft\Excel\Meeting%2020080409\12%20Months%20Forecast%20Caterpillar%20(MASTER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1\Lisda%201\Ajir-ABK-%20File\Petty%20Cash\PC-Thn%202004\Aug'04%20-%20Sept'04\PC%2015%20Aug%20'04%20-%2015%20Sept%20'04(awal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SE\6.%20SAFETY\09.%20Safety%20Accountability\2019\Laporan%20Akuntabilitas%20Tahun%20201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vin\ck-kbm$\NEW%20PAYROLL\TAHUN%202009\J.%20OKT%20'09\Departemen\MASTE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yroll\Payroll%20MSJ\2005\Desember\Nov-Des\Data%20Produksi%201\MARET%20%202004\Roster%20Cuti\Daftar%20Kary%20Operation%20Mar%2005%20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-Jun'10"/>
      <sheetName val="Jun-Des'10"/>
      <sheetName val="CK-TIA Man power"/>
      <sheetName val="Crew &amp; LV"/>
      <sheetName val="PPE - APD"/>
      <sheetName val="ID &amp; Kimper"/>
      <sheetName val="Training Need Analysis"/>
      <sheetName val="Man Hour &amp; Absen"/>
      <sheetName val="Cust Location"/>
      <sheetName val="Fbreak Schedule"/>
      <sheetName val="Progress History"/>
      <sheetName val="Sheet1"/>
      <sheetName val="simulasi"/>
      <sheetName val="List Karyawan PTTU"/>
      <sheetName val="DATA MERK"/>
      <sheetName val="DATA TIPE"/>
      <sheetName val="CK-TIA_Man_power"/>
      <sheetName val="Crew_&amp;_LV"/>
      <sheetName val="PPE_-_APD"/>
      <sheetName val="ID_&amp;_Kimper"/>
      <sheetName val="Training_Need_Analysis"/>
      <sheetName val="Man_Hour_&amp;_Absen"/>
      <sheetName val="Cust_Location"/>
      <sheetName val="Fbreak_Schedule"/>
      <sheetName val="Progress_History"/>
      <sheetName val="List_Karyawan_PTTU"/>
      <sheetName val="DATA_MERK"/>
      <sheetName val="DATA_TIPE"/>
      <sheetName val="CK-TIA_Man_power1"/>
      <sheetName val="Crew_&amp;_LV1"/>
      <sheetName val="PPE_-_APD1"/>
      <sheetName val="ID_&amp;_Kimper1"/>
      <sheetName val="Training_Need_Analysis1"/>
      <sheetName val="Man_Hour_&amp;_Absen1"/>
      <sheetName val="Cust_Location1"/>
      <sheetName val="Fbreak_Schedule1"/>
      <sheetName val="Progress_History1"/>
      <sheetName val="List_Karyawan_PTTU1"/>
      <sheetName val="DATA_MERK1"/>
      <sheetName val="DATA_TIP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APDb"/>
      <sheetName val="Notes"/>
      <sheetName val="SAPAcc"/>
      <sheetName val="OHD-CC"/>
      <sheetName val="OHD-Proj"/>
      <sheetName val="COPA"/>
      <sheetName val="Copa2"/>
      <sheetName val="DbProj"/>
      <sheetName val="DbCC"/>
      <sheetName val="SM"/>
      <sheetName val="PL"/>
      <sheetName val="BS"/>
      <sheetName val="CF"/>
      <sheetName val="Mining Forecast"/>
      <sheetName val="Rental Forecast"/>
      <sheetName val="LL"/>
      <sheetName val="OHD"/>
      <sheetName val="CAP"/>
      <sheetName val="Reconstr"/>
      <sheetName val="RUMUS NBV"/>
      <sheetName val="ASSETS NBV"/>
      <sheetName val="LEASING"/>
      <sheetName val="ROP"/>
      <sheetName val="Sheet2"/>
      <sheetName val="FI"/>
      <sheetName val="Margin Calc"/>
      <sheetName val="Tmp"/>
      <sheetName val="OHDFIN"/>
      <sheetName val="OHDMGM"/>
      <sheetName val="OHDTRN"/>
      <sheetName val="OHDHRD"/>
      <sheetName val="OHDMKT"/>
      <sheetName val="OHDPS"/>
      <sheetName val="OHDSLS"/>
      <sheetName val="PLb"/>
      <sheetName val="SMb"/>
      <sheetName val="BSb"/>
      <sheetName val="LLb"/>
      <sheetName val="CFb"/>
      <sheetName val="OHDb"/>
      <sheetName val="CAPb"/>
      <sheetName val="Kalkulasi"/>
      <sheetName val="Stok Obat"/>
      <sheetName val="Stok Klinik"/>
      <sheetName val="Mining_Forecast"/>
      <sheetName val="Rental_Forecast"/>
      <sheetName val="RUMUS_NBV"/>
      <sheetName val="ASSETS_NBV"/>
      <sheetName val="Margin_Calc"/>
      <sheetName val="Stok_Obat"/>
      <sheetName val="Stok_Klinik"/>
      <sheetName val="RF"/>
    </sheetNames>
    <sheetDataSet>
      <sheetData sheetId="0">
        <row r="5">
          <cell r="A5" t="str">
            <v>Acc</v>
          </cell>
        </row>
      </sheetData>
      <sheetData sheetId="1" refreshError="1">
        <row r="5">
          <cell r="A5" t="str">
            <v>Acc</v>
          </cell>
          <cell r="B5" t="str">
            <v>Descr</v>
          </cell>
          <cell r="C5" t="str">
            <v>Amount</v>
          </cell>
          <cell r="G5" t="str">
            <v>Acc</v>
          </cell>
          <cell r="H5" t="str">
            <v>Descr</v>
          </cell>
          <cell r="I5" t="str">
            <v>Amount</v>
          </cell>
          <cell r="J5" t="str">
            <v>Acc</v>
          </cell>
          <cell r="K5" t="str">
            <v>Descr</v>
          </cell>
          <cell r="L5" t="str">
            <v>Amount</v>
          </cell>
          <cell r="M5" t="str">
            <v>Acc</v>
          </cell>
          <cell r="N5" t="str">
            <v>Descr</v>
          </cell>
          <cell r="O5" t="str">
            <v>Amount</v>
          </cell>
          <cell r="P5" t="str">
            <v>Acc</v>
          </cell>
          <cell r="Q5" t="str">
            <v>Descr</v>
          </cell>
          <cell r="R5" t="str">
            <v>Amount</v>
          </cell>
          <cell r="S5" t="str">
            <v>Acc</v>
          </cell>
          <cell r="T5" t="str">
            <v>Descr</v>
          </cell>
          <cell r="U5" t="str">
            <v>Amount</v>
          </cell>
          <cell r="V5" t="str">
            <v>Acc</v>
          </cell>
          <cell r="W5" t="str">
            <v>Descr</v>
          </cell>
          <cell r="X5" t="str">
            <v>Amount</v>
          </cell>
          <cell r="Y5" t="str">
            <v>Acc</v>
          </cell>
          <cell r="Z5" t="str">
            <v>Descr</v>
          </cell>
          <cell r="AA5" t="str">
            <v>Amount</v>
          </cell>
          <cell r="AB5" t="str">
            <v>Acc</v>
          </cell>
          <cell r="AC5" t="str">
            <v>Descr</v>
          </cell>
          <cell r="AD5" t="str">
            <v>Amount</v>
          </cell>
          <cell r="AE5" t="str">
            <v>Acc</v>
          </cell>
          <cell r="AF5" t="str">
            <v>Descr</v>
          </cell>
          <cell r="AG5" t="str">
            <v>Amount</v>
          </cell>
          <cell r="AH5" t="str">
            <v>Acc</v>
          </cell>
          <cell r="AI5" t="str">
            <v>Descr</v>
          </cell>
          <cell r="AJ5" t="str">
            <v>Amount</v>
          </cell>
          <cell r="AK5" t="str">
            <v>Acc</v>
          </cell>
          <cell r="AL5" t="str">
            <v>Descr</v>
          </cell>
          <cell r="AM5" t="str">
            <v>Amount</v>
          </cell>
        </row>
        <row r="6">
          <cell r="A6">
            <v>1111110</v>
          </cell>
          <cell r="B6" t="str">
            <v>Trade Receivable</v>
          </cell>
          <cell r="C6">
            <v>65198925989</v>
          </cell>
          <cell r="G6">
            <v>1111110</v>
          </cell>
          <cell r="H6" t="str">
            <v>Trade Receivable</v>
          </cell>
          <cell r="I6">
            <v>5837185480</v>
          </cell>
          <cell r="J6">
            <v>1111110</v>
          </cell>
          <cell r="K6" t="str">
            <v>Trade Receivable</v>
          </cell>
          <cell r="L6">
            <v>2552162814</v>
          </cell>
          <cell r="M6">
            <v>1111110</v>
          </cell>
          <cell r="N6" t="str">
            <v>Trade Receivable</v>
          </cell>
          <cell r="O6">
            <v>2041739667</v>
          </cell>
          <cell r="P6">
            <v>1111110</v>
          </cell>
          <cell r="Q6" t="str">
            <v>Trade Receivable</v>
          </cell>
          <cell r="R6">
            <v>8284493528</v>
          </cell>
          <cell r="S6">
            <v>1111110</v>
          </cell>
          <cell r="T6" t="str">
            <v>Trade Receivable</v>
          </cell>
          <cell r="U6">
            <v>4577062426</v>
          </cell>
          <cell r="V6">
            <v>1111110</v>
          </cell>
          <cell r="W6" t="str">
            <v>Trade Receivable</v>
          </cell>
          <cell r="X6">
            <v>6888637630</v>
          </cell>
          <cell r="Y6">
            <v>1111110</v>
          </cell>
          <cell r="Z6" t="str">
            <v>Trade Receivable</v>
          </cell>
          <cell r="AA6">
            <v>14648773192</v>
          </cell>
          <cell r="AB6">
            <v>1111110</v>
          </cell>
          <cell r="AC6" t="str">
            <v>Trade Receivable</v>
          </cell>
          <cell r="AD6">
            <v>17435425699</v>
          </cell>
          <cell r="AE6">
            <v>1111110</v>
          </cell>
          <cell r="AF6" t="str">
            <v>Trade Receivable</v>
          </cell>
          <cell r="AG6">
            <v>11358977385</v>
          </cell>
          <cell r="AH6">
            <v>1111110</v>
          </cell>
          <cell r="AI6" t="str">
            <v>Trade Receivable</v>
          </cell>
          <cell r="AJ6">
            <v>22245863418</v>
          </cell>
          <cell r="AK6">
            <v>1111110</v>
          </cell>
          <cell r="AL6" t="str">
            <v>Trade Receivable</v>
          </cell>
          <cell r="AM6">
            <v>-12160230214</v>
          </cell>
        </row>
        <row r="7">
          <cell r="A7">
            <v>1111118</v>
          </cell>
          <cell r="B7" t="str">
            <v>Trd Recvbl WHT Cust</v>
          </cell>
          <cell r="C7">
            <v>-743391771</v>
          </cell>
          <cell r="G7">
            <v>1111118</v>
          </cell>
          <cell r="H7" t="str">
            <v>Trd Recvbl WHT Cust</v>
          </cell>
          <cell r="I7">
            <v>159608351</v>
          </cell>
          <cell r="J7">
            <v>1111118</v>
          </cell>
          <cell r="K7" t="str">
            <v>Trd Recvbl WHT Cust</v>
          </cell>
          <cell r="L7">
            <v>794881083</v>
          </cell>
          <cell r="M7">
            <v>1111118</v>
          </cell>
          <cell r="N7" t="str">
            <v>Trd Recvbl WHT Cust</v>
          </cell>
          <cell r="O7">
            <v>-178895845</v>
          </cell>
          <cell r="P7">
            <v>1111118</v>
          </cell>
          <cell r="Q7" t="str">
            <v>Trd Recvbl WHT Cust</v>
          </cell>
          <cell r="R7">
            <v>142511918</v>
          </cell>
          <cell r="S7">
            <v>1111118</v>
          </cell>
          <cell r="T7" t="str">
            <v>Trd Recvbl WHT Cust</v>
          </cell>
          <cell r="U7">
            <v>-106014960</v>
          </cell>
          <cell r="V7">
            <v>1111118</v>
          </cell>
          <cell r="W7" t="str">
            <v>Trd Recvbl WHT Cust</v>
          </cell>
          <cell r="X7">
            <v>1341506455</v>
          </cell>
          <cell r="Y7">
            <v>1111118</v>
          </cell>
          <cell r="Z7" t="str">
            <v>Trd Recvbl WHT Cust</v>
          </cell>
          <cell r="AA7">
            <v>-492275322</v>
          </cell>
          <cell r="AB7">
            <v>1111118</v>
          </cell>
          <cell r="AC7" t="str">
            <v>Trd Recvbl WHT Cust</v>
          </cell>
          <cell r="AD7">
            <v>159994011</v>
          </cell>
          <cell r="AE7">
            <v>1111118</v>
          </cell>
          <cell r="AF7" t="str">
            <v>Trd Recvbl WHT Cust</v>
          </cell>
          <cell r="AG7">
            <v>587453070</v>
          </cell>
          <cell r="AH7">
            <v>1111118</v>
          </cell>
          <cell r="AI7" t="str">
            <v>Trd Recvbl WHT Cust</v>
          </cell>
          <cell r="AJ7">
            <v>6577007</v>
          </cell>
          <cell r="AK7">
            <v>1111118</v>
          </cell>
          <cell r="AL7" t="str">
            <v>Trd Recvbl WHT Cust</v>
          </cell>
          <cell r="AM7">
            <v>-956936230</v>
          </cell>
        </row>
        <row r="8">
          <cell r="A8">
            <v>1111119</v>
          </cell>
          <cell r="B8" t="str">
            <v>Trd Recvbl Reval Act</v>
          </cell>
          <cell r="C8">
            <v>-532451282</v>
          </cell>
          <cell r="G8">
            <v>1111119</v>
          </cell>
          <cell r="H8" t="str">
            <v>Trd Recvbl Reval Act</v>
          </cell>
          <cell r="I8">
            <v>282222560</v>
          </cell>
          <cell r="J8">
            <v>1111119</v>
          </cell>
          <cell r="K8" t="str">
            <v>Trd Recvbl Reval Act</v>
          </cell>
          <cell r="L8">
            <v>-63365896</v>
          </cell>
          <cell r="M8">
            <v>1111119</v>
          </cell>
          <cell r="N8" t="str">
            <v>Trd Recvbl Reval Act</v>
          </cell>
          <cell r="O8">
            <v>-1098067663</v>
          </cell>
          <cell r="P8">
            <v>1111119</v>
          </cell>
          <cell r="Q8" t="str">
            <v>Trd Recvbl Reval Act</v>
          </cell>
          <cell r="R8">
            <v>-362883929</v>
          </cell>
          <cell r="S8">
            <v>1111119</v>
          </cell>
          <cell r="T8" t="str">
            <v>Trd Recvbl Reval Act</v>
          </cell>
          <cell r="U8">
            <v>833521117</v>
          </cell>
          <cell r="V8">
            <v>1111119</v>
          </cell>
          <cell r="W8" t="str">
            <v>Trd Recvbl Reval Act</v>
          </cell>
          <cell r="X8">
            <v>1092686870</v>
          </cell>
          <cell r="Y8">
            <v>1111119</v>
          </cell>
          <cell r="Z8" t="str">
            <v>Trd Recvbl Reval Act</v>
          </cell>
          <cell r="AA8">
            <v>-312265598</v>
          </cell>
          <cell r="AB8">
            <v>1111119</v>
          </cell>
          <cell r="AC8" t="str">
            <v>Trd Recvbl Reval Act</v>
          </cell>
          <cell r="AD8">
            <v>-1244663897</v>
          </cell>
          <cell r="AE8">
            <v>1111119</v>
          </cell>
          <cell r="AF8" t="str">
            <v>Trd Recvbl Reval Act</v>
          </cell>
          <cell r="AG8">
            <v>1284276945</v>
          </cell>
          <cell r="AH8">
            <v>1111119</v>
          </cell>
          <cell r="AI8" t="str">
            <v>Trd Recvbl Reval Act</v>
          </cell>
          <cell r="AJ8">
            <v>740675121</v>
          </cell>
          <cell r="AK8">
            <v>1111119</v>
          </cell>
          <cell r="AL8" t="str">
            <v>Trd Recvbl Reval Act</v>
          </cell>
          <cell r="AM8">
            <v>-893560062</v>
          </cell>
        </row>
        <row r="9">
          <cell r="A9">
            <v>1131110</v>
          </cell>
          <cell r="B9" t="str">
            <v>Prepayment PO</v>
          </cell>
          <cell r="C9">
            <v>131500</v>
          </cell>
          <cell r="G9">
            <v>1131110</v>
          </cell>
          <cell r="H9" t="str">
            <v>Prepayment PO</v>
          </cell>
          <cell r="I9">
            <v>-336100</v>
          </cell>
          <cell r="J9">
            <v>1131110</v>
          </cell>
          <cell r="K9" t="str">
            <v>Prepayment PO</v>
          </cell>
          <cell r="L9">
            <v>-427700</v>
          </cell>
          <cell r="M9">
            <v>1131110</v>
          </cell>
          <cell r="N9" t="str">
            <v>Prepayment PO</v>
          </cell>
          <cell r="O9">
            <v>1222700</v>
          </cell>
          <cell r="P9">
            <v>1131110</v>
          </cell>
          <cell r="Q9" t="str">
            <v>Prepayment PO</v>
          </cell>
          <cell r="R9">
            <v>-1328100</v>
          </cell>
          <cell r="S9">
            <v>1131110</v>
          </cell>
          <cell r="T9" t="str">
            <v>Prepayment PO</v>
          </cell>
          <cell r="U9">
            <v>-9552300</v>
          </cell>
          <cell r="V9">
            <v>1131110</v>
          </cell>
          <cell r="W9" t="str">
            <v>Prepayment PO</v>
          </cell>
          <cell r="X9">
            <v>10880400</v>
          </cell>
          <cell r="Y9">
            <v>1131110</v>
          </cell>
          <cell r="Z9" t="str">
            <v>Prepayment PO</v>
          </cell>
          <cell r="AA9">
            <v>-9136362</v>
          </cell>
          <cell r="AB9">
            <v>1131110</v>
          </cell>
          <cell r="AC9" t="str">
            <v>Prepayment PO</v>
          </cell>
          <cell r="AD9">
            <v>9136362</v>
          </cell>
          <cell r="AE9">
            <v>1131110</v>
          </cell>
          <cell r="AF9" t="str">
            <v>Prepayment PO</v>
          </cell>
          <cell r="AG9">
            <v>-15139137</v>
          </cell>
          <cell r="AH9">
            <v>1131110</v>
          </cell>
          <cell r="AI9" t="str">
            <v>Prepayment PO</v>
          </cell>
          <cell r="AJ9">
            <v>11936950</v>
          </cell>
          <cell r="AK9">
            <v>1131110</v>
          </cell>
          <cell r="AL9" t="str">
            <v>Prepayment PO</v>
          </cell>
          <cell r="AM9">
            <v>-15651863</v>
          </cell>
        </row>
        <row r="10">
          <cell r="A10">
            <v>1131120</v>
          </cell>
          <cell r="B10" t="str">
            <v>Prepay. Hse/Off Rent</v>
          </cell>
          <cell r="C10">
            <v>89417031</v>
          </cell>
          <cell r="G10">
            <v>1131120</v>
          </cell>
          <cell r="H10" t="str">
            <v>Prepay. Hse/Off Rent</v>
          </cell>
          <cell r="I10">
            <v>34078000</v>
          </cell>
          <cell r="J10">
            <v>1131120</v>
          </cell>
          <cell r="K10" t="str">
            <v>Prepay. Hse/Off Rent</v>
          </cell>
          <cell r="L10">
            <v>-26429000</v>
          </cell>
          <cell r="M10">
            <v>1131120</v>
          </cell>
          <cell r="N10" t="str">
            <v>Prepay. Hse/Off Rent</v>
          </cell>
          <cell r="O10">
            <v>-23873000</v>
          </cell>
          <cell r="P10">
            <v>1131120</v>
          </cell>
          <cell r="Q10" t="str">
            <v>Prepay. Hse/Off Rent</v>
          </cell>
          <cell r="R10">
            <v>54469000</v>
          </cell>
          <cell r="S10">
            <v>1131120</v>
          </cell>
          <cell r="T10" t="str">
            <v>Prepay. Hse/Off Rent</v>
          </cell>
          <cell r="U10">
            <v>-34763000</v>
          </cell>
          <cell r="V10">
            <v>1131120</v>
          </cell>
          <cell r="W10" t="str">
            <v>Prepay. Hse/Off Rent</v>
          </cell>
          <cell r="X10">
            <v>-15966704</v>
          </cell>
          <cell r="Y10">
            <v>1131120</v>
          </cell>
          <cell r="Z10" t="str">
            <v>Prepay. Hse/Off Rent</v>
          </cell>
          <cell r="AA10">
            <v>112281689</v>
          </cell>
          <cell r="AB10">
            <v>1131120</v>
          </cell>
          <cell r="AC10" t="str">
            <v>Prepay. Hse/Off Rent</v>
          </cell>
          <cell r="AD10">
            <v>-11369569</v>
          </cell>
          <cell r="AE10">
            <v>1131120</v>
          </cell>
          <cell r="AF10" t="str">
            <v>Prepay. Hse/Off Rent</v>
          </cell>
          <cell r="AG10">
            <v>-10867902</v>
          </cell>
          <cell r="AH10">
            <v>1131120</v>
          </cell>
          <cell r="AI10" t="str">
            <v>Prepay. Hse/Off Rent</v>
          </cell>
          <cell r="AJ10">
            <v>45425702</v>
          </cell>
          <cell r="AK10">
            <v>1131120</v>
          </cell>
          <cell r="AL10" t="str">
            <v>Prepay. Hse/Off Rent</v>
          </cell>
          <cell r="AM10">
            <v>74783304</v>
          </cell>
        </row>
        <row r="11">
          <cell r="A11">
            <v>1131130</v>
          </cell>
          <cell r="B11" t="str">
            <v>Prepayment Insurance</v>
          </cell>
          <cell r="C11">
            <v>159177333</v>
          </cell>
          <cell r="G11">
            <v>1131130</v>
          </cell>
          <cell r="H11" t="str">
            <v>Prepayment Insurance</v>
          </cell>
          <cell r="I11">
            <v>-27281302</v>
          </cell>
          <cell r="J11">
            <v>1151110</v>
          </cell>
          <cell r="K11" t="str">
            <v>Staff Loan</v>
          </cell>
          <cell r="L11">
            <v>187390</v>
          </cell>
          <cell r="M11">
            <v>1151110</v>
          </cell>
          <cell r="N11" t="str">
            <v>Staff Loan</v>
          </cell>
          <cell r="O11">
            <v>-8740729</v>
          </cell>
          <cell r="P11">
            <v>1151110</v>
          </cell>
          <cell r="Q11" t="str">
            <v>Staff Loan</v>
          </cell>
          <cell r="R11">
            <v>-250926</v>
          </cell>
          <cell r="S11">
            <v>1151110</v>
          </cell>
          <cell r="T11" t="str">
            <v>Staff Loan</v>
          </cell>
          <cell r="U11">
            <v>-53258310</v>
          </cell>
          <cell r="V11">
            <v>1151110</v>
          </cell>
          <cell r="W11" t="str">
            <v>Staff Loan</v>
          </cell>
          <cell r="X11">
            <v>-5105444</v>
          </cell>
          <cell r="Y11">
            <v>1131130</v>
          </cell>
          <cell r="Z11" t="str">
            <v>Prepayment Insurance</v>
          </cell>
          <cell r="AA11">
            <v>137323599</v>
          </cell>
          <cell r="AB11">
            <v>1131130</v>
          </cell>
          <cell r="AC11" t="str">
            <v>Prepayment Insurance</v>
          </cell>
          <cell r="AD11">
            <v>-34028826</v>
          </cell>
          <cell r="AE11">
            <v>1131130</v>
          </cell>
          <cell r="AF11" t="str">
            <v>Prepayment Insurance</v>
          </cell>
          <cell r="AG11">
            <v>-34330857</v>
          </cell>
          <cell r="AH11">
            <v>1131130</v>
          </cell>
          <cell r="AI11" t="str">
            <v>Prepayment Insurance</v>
          </cell>
          <cell r="AJ11">
            <v>-34330942</v>
          </cell>
          <cell r="AK11">
            <v>1131130</v>
          </cell>
          <cell r="AL11" t="str">
            <v>Prepayment Insurance</v>
          </cell>
          <cell r="AM11">
            <v>-34129588</v>
          </cell>
        </row>
        <row r="12">
          <cell r="A12">
            <v>1151110</v>
          </cell>
          <cell r="B12" t="str">
            <v>Staff Loan</v>
          </cell>
          <cell r="C12">
            <v>-88136094</v>
          </cell>
          <cell r="G12">
            <v>1151110</v>
          </cell>
          <cell r="H12" t="str">
            <v>Staff Loan</v>
          </cell>
          <cell r="I12">
            <v>-25185443</v>
          </cell>
          <cell r="J12">
            <v>1151120</v>
          </cell>
          <cell r="K12" t="str">
            <v>Travel Advance</v>
          </cell>
          <cell r="L12">
            <v>53770000</v>
          </cell>
          <cell r="M12">
            <v>1151120</v>
          </cell>
          <cell r="N12" t="str">
            <v>Travel Advance</v>
          </cell>
          <cell r="O12">
            <v>800000</v>
          </cell>
          <cell r="P12">
            <v>1151120</v>
          </cell>
          <cell r="Q12" t="str">
            <v>Travel Advance</v>
          </cell>
          <cell r="R12">
            <v>-22500000</v>
          </cell>
          <cell r="S12">
            <v>1151120</v>
          </cell>
          <cell r="T12" t="str">
            <v>Travel Advance</v>
          </cell>
          <cell r="U12">
            <v>6153000</v>
          </cell>
          <cell r="V12">
            <v>1151120</v>
          </cell>
          <cell r="W12" t="str">
            <v>Travel Advance</v>
          </cell>
          <cell r="X12">
            <v>250000</v>
          </cell>
          <cell r="Y12">
            <v>1151110</v>
          </cell>
          <cell r="Z12" t="str">
            <v>Staff Loan</v>
          </cell>
          <cell r="AA12">
            <v>3068148</v>
          </cell>
          <cell r="AB12">
            <v>1151110</v>
          </cell>
          <cell r="AC12" t="str">
            <v>Staff Loan</v>
          </cell>
          <cell r="AD12">
            <v>-36203173</v>
          </cell>
          <cell r="AE12">
            <v>1151110</v>
          </cell>
          <cell r="AF12" t="str">
            <v>Staff Loan</v>
          </cell>
          <cell r="AG12">
            <v>-20802252</v>
          </cell>
          <cell r="AH12">
            <v>1151110</v>
          </cell>
          <cell r="AI12" t="str">
            <v>Staff Loan</v>
          </cell>
          <cell r="AJ12">
            <v>-23101577</v>
          </cell>
          <cell r="AK12">
            <v>1151110</v>
          </cell>
          <cell r="AL12" t="str">
            <v>Staff Loan</v>
          </cell>
          <cell r="AM12">
            <v>5662326</v>
          </cell>
        </row>
        <row r="13">
          <cell r="A13">
            <v>1151120</v>
          </cell>
          <cell r="B13" t="str">
            <v>Travel Advance</v>
          </cell>
          <cell r="C13">
            <v>107950000</v>
          </cell>
          <cell r="G13">
            <v>1151120</v>
          </cell>
          <cell r="H13" t="str">
            <v>Travel Advance</v>
          </cell>
          <cell r="I13">
            <v>17800000</v>
          </cell>
          <cell r="J13">
            <v>1211160</v>
          </cell>
          <cell r="K13" t="str">
            <v>Stock Consumables</v>
          </cell>
          <cell r="L13">
            <v>-365938861</v>
          </cell>
          <cell r="M13">
            <v>1211130</v>
          </cell>
          <cell r="N13" t="str">
            <v>Semi Finished Goods</v>
          </cell>
          <cell r="O13">
            <v>0</v>
          </cell>
          <cell r="P13">
            <v>1211130</v>
          </cell>
          <cell r="Q13" t="str">
            <v>Semi Finished Goods</v>
          </cell>
          <cell r="R13">
            <v>0</v>
          </cell>
          <cell r="S13">
            <v>1211160</v>
          </cell>
          <cell r="T13" t="str">
            <v>Stock Consumables</v>
          </cell>
          <cell r="U13">
            <v>1504053669</v>
          </cell>
          <cell r="V13">
            <v>1161120</v>
          </cell>
          <cell r="W13" t="str">
            <v>Provision Trade Spc</v>
          </cell>
          <cell r="X13">
            <v>0</v>
          </cell>
          <cell r="Y13">
            <v>1151120</v>
          </cell>
          <cell r="Z13" t="str">
            <v>Travel Advance</v>
          </cell>
          <cell r="AA13">
            <v>7021410</v>
          </cell>
          <cell r="AB13">
            <v>1151120</v>
          </cell>
          <cell r="AC13" t="str">
            <v>Travel Advance</v>
          </cell>
          <cell r="AD13">
            <v>22050000</v>
          </cell>
          <cell r="AE13">
            <v>1151120</v>
          </cell>
          <cell r="AF13" t="str">
            <v>Travel Advance</v>
          </cell>
          <cell r="AG13">
            <v>9250000</v>
          </cell>
          <cell r="AH13">
            <v>1151120</v>
          </cell>
          <cell r="AI13" t="str">
            <v>Travel Advance</v>
          </cell>
          <cell r="AJ13">
            <v>-22150000</v>
          </cell>
          <cell r="AK13">
            <v>1151120</v>
          </cell>
          <cell r="AL13" t="str">
            <v>Travel Advance</v>
          </cell>
          <cell r="AM13">
            <v>-50000</v>
          </cell>
        </row>
        <row r="14">
          <cell r="A14">
            <v>1161120</v>
          </cell>
          <cell r="B14" t="str">
            <v>Provision Trade Spc</v>
          </cell>
          <cell r="C14">
            <v>-8760015914</v>
          </cell>
          <cell r="G14">
            <v>1211110</v>
          </cell>
          <cell r="H14" t="str">
            <v>Stock Trading - PP</v>
          </cell>
          <cell r="I14">
            <v>0</v>
          </cell>
          <cell r="J14">
            <v>1221110</v>
          </cell>
          <cell r="K14" t="str">
            <v>GR/IR Clearing Acct.</v>
          </cell>
          <cell r="L14">
            <v>-31423220</v>
          </cell>
          <cell r="M14">
            <v>1211160</v>
          </cell>
          <cell r="N14" t="str">
            <v>Stock Consumables</v>
          </cell>
          <cell r="O14">
            <v>340372885</v>
          </cell>
          <cell r="P14">
            <v>1211160</v>
          </cell>
          <cell r="Q14" t="str">
            <v>Stock Consumables</v>
          </cell>
          <cell r="R14">
            <v>693797997</v>
          </cell>
          <cell r="S14">
            <v>1221110</v>
          </cell>
          <cell r="T14" t="str">
            <v>GR/IR Clearing Acct.</v>
          </cell>
          <cell r="U14">
            <v>-134080368</v>
          </cell>
          <cell r="V14">
            <v>1211110</v>
          </cell>
          <cell r="W14" t="str">
            <v>Stock Trading - PP</v>
          </cell>
          <cell r="X14">
            <v>0</v>
          </cell>
          <cell r="Y14">
            <v>1211110</v>
          </cell>
          <cell r="Z14" t="str">
            <v>Stock Trading - PP</v>
          </cell>
          <cell r="AA14">
            <v>0</v>
          </cell>
          <cell r="AB14">
            <v>1211160</v>
          </cell>
          <cell r="AC14" t="str">
            <v>Stock Consumables</v>
          </cell>
          <cell r="AD14">
            <v>-1935022063</v>
          </cell>
          <cell r="AE14">
            <v>1211110</v>
          </cell>
          <cell r="AF14" t="str">
            <v>Stock Trading - PP</v>
          </cell>
          <cell r="AG14">
            <v>0</v>
          </cell>
          <cell r="AH14">
            <v>1211110</v>
          </cell>
          <cell r="AI14" t="str">
            <v>Stock Trading - PP</v>
          </cell>
          <cell r="AJ14">
            <v>0</v>
          </cell>
          <cell r="AK14">
            <v>1211130</v>
          </cell>
          <cell r="AL14" t="str">
            <v>Semi Finished Goods</v>
          </cell>
          <cell r="AM14">
            <v>0</v>
          </cell>
        </row>
        <row r="15">
          <cell r="A15">
            <v>1211110</v>
          </cell>
          <cell r="B15" t="str">
            <v>Stock Trading - PP</v>
          </cell>
          <cell r="C15">
            <v>0</v>
          </cell>
          <cell r="G15">
            <v>1211130</v>
          </cell>
          <cell r="H15" t="str">
            <v>Semi Finished Goods</v>
          </cell>
          <cell r="I15">
            <v>0</v>
          </cell>
          <cell r="J15">
            <v>1231110</v>
          </cell>
          <cell r="K15" t="str">
            <v>WIP Service</v>
          </cell>
          <cell r="L15">
            <v>1805385331</v>
          </cell>
          <cell r="M15">
            <v>1221110</v>
          </cell>
          <cell r="N15" t="str">
            <v>GR/IR Clearing Acct.</v>
          </cell>
          <cell r="O15">
            <v>-200963172</v>
          </cell>
          <cell r="P15">
            <v>1221110</v>
          </cell>
          <cell r="Q15" t="str">
            <v>GR/IR Clearing Acct.</v>
          </cell>
          <cell r="R15">
            <v>-1321527288</v>
          </cell>
          <cell r="S15">
            <v>1231110</v>
          </cell>
          <cell r="T15" t="str">
            <v>WIP Service</v>
          </cell>
          <cell r="U15">
            <v>3290260341</v>
          </cell>
          <cell r="V15">
            <v>1211130</v>
          </cell>
          <cell r="W15" t="str">
            <v>Semi Finished Goods</v>
          </cell>
          <cell r="X15">
            <v>0</v>
          </cell>
          <cell r="Y15">
            <v>1211130</v>
          </cell>
          <cell r="Z15" t="str">
            <v>Semi Finished Goods</v>
          </cell>
          <cell r="AA15">
            <v>0</v>
          </cell>
          <cell r="AB15">
            <v>1221110</v>
          </cell>
          <cell r="AC15" t="str">
            <v>GR/IR Clearing Acct.</v>
          </cell>
          <cell r="AD15">
            <v>413439798</v>
          </cell>
          <cell r="AE15">
            <v>1211130</v>
          </cell>
          <cell r="AF15" t="str">
            <v>Semi Finished Goods</v>
          </cell>
          <cell r="AG15">
            <v>0</v>
          </cell>
          <cell r="AH15">
            <v>1211130</v>
          </cell>
          <cell r="AI15" t="str">
            <v>Semi Finished Goods</v>
          </cell>
          <cell r="AJ15">
            <v>0</v>
          </cell>
          <cell r="AK15">
            <v>1211160</v>
          </cell>
          <cell r="AL15" t="str">
            <v>Stock Consumables</v>
          </cell>
          <cell r="AM15">
            <v>837494950</v>
          </cell>
        </row>
        <row r="16">
          <cell r="A16">
            <v>1211130</v>
          </cell>
          <cell r="B16" t="str">
            <v>Semi Finished Goods</v>
          </cell>
          <cell r="C16">
            <v>0</v>
          </cell>
          <cell r="G16">
            <v>1211160</v>
          </cell>
          <cell r="H16" t="str">
            <v>Stock Consumables</v>
          </cell>
          <cell r="I16">
            <v>2048014881</v>
          </cell>
          <cell r="J16">
            <v>1231120</v>
          </cell>
          <cell r="K16" t="str">
            <v>WIP Project</v>
          </cell>
          <cell r="L16">
            <v>7641989382</v>
          </cell>
          <cell r="M16">
            <v>1231110</v>
          </cell>
          <cell r="N16" t="str">
            <v>WIP Service</v>
          </cell>
          <cell r="O16">
            <v>1830924614</v>
          </cell>
          <cell r="P16">
            <v>1231110</v>
          </cell>
          <cell r="Q16" t="str">
            <v>WIP Service</v>
          </cell>
          <cell r="R16">
            <v>1666920911</v>
          </cell>
          <cell r="S16">
            <v>1231120</v>
          </cell>
          <cell r="T16" t="str">
            <v>WIP Project</v>
          </cell>
          <cell r="U16">
            <v>4327946645</v>
          </cell>
          <cell r="V16">
            <v>1211160</v>
          </cell>
          <cell r="W16" t="str">
            <v>Stock Consumables</v>
          </cell>
          <cell r="X16">
            <v>1330309437</v>
          </cell>
          <cell r="Y16">
            <v>1211160</v>
          </cell>
          <cell r="Z16" t="str">
            <v>Stock Consumables</v>
          </cell>
          <cell r="AA16">
            <v>1398180646</v>
          </cell>
          <cell r="AB16">
            <v>1231110</v>
          </cell>
          <cell r="AC16" t="str">
            <v>WIP Service</v>
          </cell>
          <cell r="AD16">
            <v>-2862515578</v>
          </cell>
          <cell r="AE16">
            <v>1211160</v>
          </cell>
          <cell r="AF16" t="str">
            <v>Stock Consumables</v>
          </cell>
          <cell r="AG16">
            <v>-4823749140</v>
          </cell>
          <cell r="AH16">
            <v>1211160</v>
          </cell>
          <cell r="AI16" t="str">
            <v>Stock Consumables</v>
          </cell>
          <cell r="AJ16">
            <v>45203167</v>
          </cell>
          <cell r="AK16">
            <v>1221110</v>
          </cell>
          <cell r="AL16" t="str">
            <v>GR/IR Clearing Acct.</v>
          </cell>
          <cell r="AM16">
            <v>2319907849</v>
          </cell>
        </row>
        <row r="17">
          <cell r="A17">
            <v>1211160</v>
          </cell>
          <cell r="B17" t="str">
            <v>Stock Consumables</v>
          </cell>
          <cell r="C17">
            <v>1349680014</v>
          </cell>
          <cell r="G17">
            <v>1221110</v>
          </cell>
          <cell r="H17" t="str">
            <v>GR/IR Clearing Acct.</v>
          </cell>
          <cell r="I17">
            <v>1281937254</v>
          </cell>
          <cell r="J17">
            <v>1311110</v>
          </cell>
          <cell r="K17" t="str">
            <v>Trade Creditor</v>
          </cell>
          <cell r="L17">
            <v>3336943354</v>
          </cell>
          <cell r="M17">
            <v>1231120</v>
          </cell>
          <cell r="N17" t="str">
            <v>WIP Project</v>
          </cell>
          <cell r="O17">
            <v>10583693902</v>
          </cell>
          <cell r="P17">
            <v>1231120</v>
          </cell>
          <cell r="Q17" t="str">
            <v>WIP Project</v>
          </cell>
          <cell r="R17">
            <v>-3354486029</v>
          </cell>
          <cell r="S17">
            <v>1311110</v>
          </cell>
          <cell r="T17" t="str">
            <v>Trade Creditor</v>
          </cell>
          <cell r="U17">
            <v>-4441302977</v>
          </cell>
          <cell r="V17">
            <v>1221110</v>
          </cell>
          <cell r="W17" t="str">
            <v>GR/IR Clearing Acct.</v>
          </cell>
          <cell r="X17">
            <v>-3280632231</v>
          </cell>
          <cell r="Y17">
            <v>1221110</v>
          </cell>
          <cell r="Z17" t="str">
            <v>GR/IR Clearing Acct.</v>
          </cell>
          <cell r="AA17">
            <v>3410889596</v>
          </cell>
          <cell r="AB17">
            <v>1231120</v>
          </cell>
          <cell r="AC17" t="str">
            <v>WIP Project</v>
          </cell>
          <cell r="AD17">
            <v>-8138193298</v>
          </cell>
          <cell r="AE17">
            <v>1221110</v>
          </cell>
          <cell r="AF17" t="str">
            <v>GR/IR Clearing Acct.</v>
          </cell>
          <cell r="AG17">
            <v>-1355389229</v>
          </cell>
          <cell r="AH17">
            <v>1221110</v>
          </cell>
          <cell r="AI17" t="str">
            <v>GR/IR Clearing Acct.</v>
          </cell>
          <cell r="AJ17">
            <v>-457728935</v>
          </cell>
          <cell r="AK17">
            <v>1231110</v>
          </cell>
          <cell r="AL17" t="str">
            <v>WIP Service</v>
          </cell>
          <cell r="AM17">
            <v>-4120227479</v>
          </cell>
        </row>
        <row r="18">
          <cell r="A18">
            <v>1221110</v>
          </cell>
          <cell r="B18" t="str">
            <v>GR/IR Clearing Acct.</v>
          </cell>
          <cell r="C18">
            <v>-712328667</v>
          </cell>
          <cell r="G18">
            <v>1231110</v>
          </cell>
          <cell r="H18" t="str">
            <v>WIP Service</v>
          </cell>
          <cell r="I18">
            <v>1536122734</v>
          </cell>
          <cell r="J18">
            <v>1311119</v>
          </cell>
          <cell r="K18" t="str">
            <v>Trade Crd Reval Acct</v>
          </cell>
          <cell r="L18">
            <v>-53163786</v>
          </cell>
          <cell r="M18">
            <v>1231170</v>
          </cell>
          <cell r="N18" t="str">
            <v>Site Estab. in Prog</v>
          </cell>
          <cell r="O18">
            <v>-512225454</v>
          </cell>
          <cell r="P18">
            <v>1231170</v>
          </cell>
          <cell r="Q18" t="str">
            <v>Site Estab. in Prog</v>
          </cell>
          <cell r="R18">
            <v>-190157684</v>
          </cell>
          <cell r="S18">
            <v>1311119</v>
          </cell>
          <cell r="T18" t="str">
            <v>Trade Crd Reval Acct</v>
          </cell>
          <cell r="U18">
            <v>413776233</v>
          </cell>
          <cell r="V18">
            <v>1231110</v>
          </cell>
          <cell r="W18" t="str">
            <v>WIP Service</v>
          </cell>
          <cell r="X18">
            <v>-12056153672</v>
          </cell>
          <cell r="Y18">
            <v>1231110</v>
          </cell>
          <cell r="Z18" t="str">
            <v>WIP Service</v>
          </cell>
          <cell r="AA18">
            <v>1940672387</v>
          </cell>
          <cell r="AB18">
            <v>1231170</v>
          </cell>
          <cell r="AC18" t="str">
            <v>Site Estab. in Prog</v>
          </cell>
          <cell r="AD18">
            <v>-38870316</v>
          </cell>
          <cell r="AE18">
            <v>1231110</v>
          </cell>
          <cell r="AF18" t="str">
            <v>WIP Service</v>
          </cell>
          <cell r="AG18">
            <v>2299500111</v>
          </cell>
          <cell r="AH18">
            <v>1231110</v>
          </cell>
          <cell r="AI18" t="str">
            <v>WIP Service</v>
          </cell>
          <cell r="AJ18">
            <v>4854161952</v>
          </cell>
          <cell r="AK18">
            <v>1231120</v>
          </cell>
          <cell r="AL18" t="str">
            <v>WIP Project</v>
          </cell>
          <cell r="AM18">
            <v>33651947776</v>
          </cell>
        </row>
        <row r="19">
          <cell r="A19">
            <v>1231120</v>
          </cell>
          <cell r="B19" t="str">
            <v>WIP Project</v>
          </cell>
          <cell r="C19">
            <v>19902311500</v>
          </cell>
          <cell r="G19">
            <v>1231120</v>
          </cell>
          <cell r="H19" t="str">
            <v>WIP Project</v>
          </cell>
          <cell r="I19">
            <v>-3890317619</v>
          </cell>
          <cell r="J19">
            <v>1311140</v>
          </cell>
          <cell r="K19" t="str">
            <v>Trade Cred. Intercoy</v>
          </cell>
          <cell r="L19">
            <v>-13682081599</v>
          </cell>
          <cell r="M19">
            <v>1311110</v>
          </cell>
          <cell r="N19" t="str">
            <v>Trade Creditor</v>
          </cell>
          <cell r="O19">
            <v>6148020876</v>
          </cell>
          <cell r="P19">
            <v>1311110</v>
          </cell>
          <cell r="Q19" t="str">
            <v>Trade Creditor</v>
          </cell>
          <cell r="R19">
            <v>2779755650</v>
          </cell>
          <cell r="S19">
            <v>1311140</v>
          </cell>
          <cell r="T19" t="str">
            <v>Trade Cred. Intercoy</v>
          </cell>
          <cell r="U19">
            <v>-14468473313</v>
          </cell>
          <cell r="V19">
            <v>1231120</v>
          </cell>
          <cell r="W19" t="str">
            <v>WIP Project</v>
          </cell>
          <cell r="X19">
            <v>6832404300</v>
          </cell>
          <cell r="Y19">
            <v>1231120</v>
          </cell>
          <cell r="Z19" t="str">
            <v>WIP Project</v>
          </cell>
          <cell r="AA19">
            <v>6801501867</v>
          </cell>
          <cell r="AB19">
            <v>1311110</v>
          </cell>
          <cell r="AC19" t="str">
            <v>Trade Creditor</v>
          </cell>
          <cell r="AD19">
            <v>8675112287</v>
          </cell>
          <cell r="AE19">
            <v>1231120</v>
          </cell>
          <cell r="AF19" t="str">
            <v>WIP Project</v>
          </cell>
          <cell r="AG19">
            <v>-2856910288</v>
          </cell>
          <cell r="AH19">
            <v>1231120</v>
          </cell>
          <cell r="AI19" t="str">
            <v>WIP Project</v>
          </cell>
          <cell r="AJ19">
            <v>-491951858</v>
          </cell>
          <cell r="AK19">
            <v>1231170</v>
          </cell>
          <cell r="AL19" t="str">
            <v>Site Estab. in Prog</v>
          </cell>
          <cell r="AM19">
            <v>1319937090</v>
          </cell>
        </row>
        <row r="20">
          <cell r="A20">
            <v>1311110</v>
          </cell>
          <cell r="B20" t="str">
            <v>Trade Creditor</v>
          </cell>
          <cell r="C20">
            <v>1395762341</v>
          </cell>
          <cell r="G20">
            <v>1311110</v>
          </cell>
          <cell r="H20" t="str">
            <v>Trade Creditor</v>
          </cell>
          <cell r="I20">
            <v>-629439319</v>
          </cell>
          <cell r="J20">
            <v>1311150</v>
          </cell>
          <cell r="K20" t="str">
            <v>Oth Debt Clr Acct</v>
          </cell>
          <cell r="L20">
            <v>2853065875</v>
          </cell>
          <cell r="M20">
            <v>1311119</v>
          </cell>
          <cell r="N20" t="str">
            <v>Trade Crd Reval Acct</v>
          </cell>
          <cell r="O20">
            <v>402812455</v>
          </cell>
          <cell r="P20">
            <v>1311119</v>
          </cell>
          <cell r="Q20" t="str">
            <v>Trade Crd Reval Acct</v>
          </cell>
          <cell r="R20">
            <v>425390417</v>
          </cell>
          <cell r="S20">
            <v>1311150</v>
          </cell>
          <cell r="T20" t="str">
            <v>Oth Debt Clr Acct</v>
          </cell>
          <cell r="U20">
            <v>-14384421719</v>
          </cell>
          <cell r="V20">
            <v>1231170</v>
          </cell>
          <cell r="W20" t="str">
            <v>Site Estab. in Prog</v>
          </cell>
          <cell r="X20">
            <v>-279818182</v>
          </cell>
          <cell r="Y20">
            <v>1231170</v>
          </cell>
          <cell r="Z20" t="str">
            <v>Site Estab. in Prog</v>
          </cell>
          <cell r="AA20">
            <v>-244320000</v>
          </cell>
          <cell r="AB20">
            <v>1311119</v>
          </cell>
          <cell r="AC20" t="str">
            <v>Trade Crd Reval Acct</v>
          </cell>
          <cell r="AD20">
            <v>-28624148</v>
          </cell>
          <cell r="AE20">
            <v>1311110</v>
          </cell>
          <cell r="AF20" t="str">
            <v>Trade Creditor</v>
          </cell>
          <cell r="AG20">
            <v>-6172776521</v>
          </cell>
          <cell r="AH20">
            <v>1311110</v>
          </cell>
          <cell r="AI20" t="str">
            <v>Trade Creditor</v>
          </cell>
          <cell r="AJ20">
            <v>-795020161</v>
          </cell>
          <cell r="AK20">
            <v>1311110</v>
          </cell>
          <cell r="AL20" t="str">
            <v>Trade Creditor</v>
          </cell>
          <cell r="AM20">
            <v>-11259667101</v>
          </cell>
        </row>
        <row r="21">
          <cell r="A21">
            <v>1311119</v>
          </cell>
          <cell r="B21" t="str">
            <v>Trade Crd Reval Acct</v>
          </cell>
          <cell r="C21">
            <v>172408813</v>
          </cell>
          <cell r="G21">
            <v>1311119</v>
          </cell>
          <cell r="H21" t="str">
            <v>Trade Crd Reval Acct</v>
          </cell>
          <cell r="I21">
            <v>83170158</v>
          </cell>
          <cell r="J21">
            <v>1321130</v>
          </cell>
          <cell r="K21" t="str">
            <v>Accr/Prov Service</v>
          </cell>
          <cell r="L21">
            <v>8039468</v>
          </cell>
          <cell r="M21">
            <v>1311140</v>
          </cell>
          <cell r="N21" t="str">
            <v>Trade Cred. Intercoy</v>
          </cell>
          <cell r="O21">
            <v>787133347</v>
          </cell>
          <cell r="P21">
            <v>1311140</v>
          </cell>
          <cell r="Q21" t="str">
            <v>Trade Cred. Intercoy</v>
          </cell>
          <cell r="R21">
            <v>2183024893</v>
          </cell>
          <cell r="S21">
            <v>1321130</v>
          </cell>
          <cell r="T21" t="str">
            <v>Accr/Prov Service</v>
          </cell>
          <cell r="U21">
            <v>0</v>
          </cell>
          <cell r="V21">
            <v>1311110</v>
          </cell>
          <cell r="W21" t="str">
            <v>Trade Creditor</v>
          </cell>
          <cell r="X21">
            <v>2343755694</v>
          </cell>
          <cell r="Y21">
            <v>1311110</v>
          </cell>
          <cell r="Z21" t="str">
            <v>Trade Creditor</v>
          </cell>
          <cell r="AA21">
            <v>347685670</v>
          </cell>
          <cell r="AB21">
            <v>1311140</v>
          </cell>
          <cell r="AC21" t="str">
            <v>Trade Cred. Intercoy</v>
          </cell>
          <cell r="AD21">
            <v>-1092659785</v>
          </cell>
          <cell r="AE21">
            <v>1311119</v>
          </cell>
          <cell r="AF21" t="str">
            <v>Trade Crd Reval Acct</v>
          </cell>
          <cell r="AG21">
            <v>-8258843</v>
          </cell>
          <cell r="AH21">
            <v>1311119</v>
          </cell>
          <cell r="AI21" t="str">
            <v>Trade Crd Reval Acct</v>
          </cell>
          <cell r="AJ21">
            <v>35519501</v>
          </cell>
          <cell r="AK21">
            <v>1311119</v>
          </cell>
          <cell r="AL21" t="str">
            <v>Trade Crd Reval Acct</v>
          </cell>
          <cell r="AM21">
            <v>14515692</v>
          </cell>
        </row>
        <row r="22">
          <cell r="A22">
            <v>1311140</v>
          </cell>
          <cell r="B22" t="str">
            <v>Trade Cred. Intercoy</v>
          </cell>
          <cell r="C22">
            <v>-34099012600</v>
          </cell>
          <cell r="G22">
            <v>1311140</v>
          </cell>
          <cell r="H22" t="str">
            <v>Trade Cred. Intercoy</v>
          </cell>
          <cell r="I22">
            <v>-13167375941</v>
          </cell>
          <cell r="J22">
            <v>1321140</v>
          </cell>
          <cell r="K22" t="str">
            <v>Accr/Prov Over Haul</v>
          </cell>
          <cell r="L22">
            <v>-1272223058</v>
          </cell>
          <cell r="M22">
            <v>1311150</v>
          </cell>
          <cell r="N22" t="str">
            <v>Oth Debt Clr Acct</v>
          </cell>
          <cell r="O22">
            <v>-2667946512</v>
          </cell>
          <cell r="P22">
            <v>1311150</v>
          </cell>
          <cell r="Q22" t="str">
            <v>Oth Debt Clr Acct</v>
          </cell>
          <cell r="R22">
            <v>4240037871</v>
          </cell>
          <cell r="S22">
            <v>1321140</v>
          </cell>
          <cell r="T22" t="str">
            <v>Accr/Prov Over Haul</v>
          </cell>
          <cell r="U22">
            <v>-1565556144</v>
          </cell>
          <cell r="V22">
            <v>1311119</v>
          </cell>
          <cell r="W22" t="str">
            <v>Trade Crd Reval Acct</v>
          </cell>
          <cell r="X22">
            <v>-875600526</v>
          </cell>
          <cell r="Y22">
            <v>1311119</v>
          </cell>
          <cell r="Z22" t="str">
            <v>Trade Crd Reval Acct</v>
          </cell>
          <cell r="AA22">
            <v>957078244</v>
          </cell>
          <cell r="AB22">
            <v>1311150</v>
          </cell>
          <cell r="AC22" t="str">
            <v>Oth Debt Clr Acct</v>
          </cell>
          <cell r="AD22">
            <v>-7534575860</v>
          </cell>
          <cell r="AE22">
            <v>1311140</v>
          </cell>
          <cell r="AF22" t="str">
            <v>Trade Cred. Intercoy</v>
          </cell>
          <cell r="AG22">
            <v>-1346086962</v>
          </cell>
          <cell r="AH22">
            <v>1311140</v>
          </cell>
          <cell r="AI22" t="str">
            <v>Trade Cred. Intercoy</v>
          </cell>
          <cell r="AJ22">
            <v>24501496947</v>
          </cell>
          <cell r="AK22">
            <v>1311140</v>
          </cell>
          <cell r="AL22" t="str">
            <v>Trade Cred. Intercoy</v>
          </cell>
          <cell r="AM22">
            <v>-40576908031</v>
          </cell>
        </row>
        <row r="23">
          <cell r="A23">
            <v>1311150</v>
          </cell>
          <cell r="B23" t="str">
            <v>Oth Debt Clr Acct</v>
          </cell>
          <cell r="C23">
            <v>345245356</v>
          </cell>
          <cell r="G23">
            <v>1311150</v>
          </cell>
          <cell r="H23" t="str">
            <v>Oth Debt Clr Acct</v>
          </cell>
          <cell r="I23">
            <v>-2291605098</v>
          </cell>
          <cell r="J23">
            <v>1321170</v>
          </cell>
          <cell r="K23" t="str">
            <v>Accr/Prov Insurance</v>
          </cell>
          <cell r="L23">
            <v>440843130</v>
          </cell>
          <cell r="M23">
            <v>1321130</v>
          </cell>
          <cell r="N23" t="str">
            <v>Accr/Prov Service</v>
          </cell>
          <cell r="O23">
            <v>23500000</v>
          </cell>
          <cell r="P23">
            <v>1321130</v>
          </cell>
          <cell r="Q23" t="str">
            <v>Accr/Prov Service</v>
          </cell>
          <cell r="R23">
            <v>-284875000</v>
          </cell>
          <cell r="S23">
            <v>1321990</v>
          </cell>
          <cell r="T23" t="str">
            <v>Accr/Prov Other</v>
          </cell>
          <cell r="U23">
            <v>-492477018</v>
          </cell>
          <cell r="V23">
            <v>1311140</v>
          </cell>
          <cell r="W23" t="str">
            <v>Trade Cred. Intercoy</v>
          </cell>
          <cell r="X23">
            <v>-18604047068</v>
          </cell>
          <cell r="Y23">
            <v>1311140</v>
          </cell>
          <cell r="Z23" t="str">
            <v>Trade Cred. Intercoy</v>
          </cell>
          <cell r="AA23">
            <v>35442166781</v>
          </cell>
          <cell r="AB23">
            <v>1321130</v>
          </cell>
          <cell r="AC23" t="str">
            <v>Accr/Prov Service</v>
          </cell>
          <cell r="AD23">
            <v>68500000</v>
          </cell>
          <cell r="AE23">
            <v>1311150</v>
          </cell>
          <cell r="AF23" t="str">
            <v>Oth Debt Clr Acct</v>
          </cell>
          <cell r="AG23">
            <v>-1354871277</v>
          </cell>
          <cell r="AH23">
            <v>1311150</v>
          </cell>
          <cell r="AI23" t="str">
            <v>Oth Debt Clr Acct</v>
          </cell>
          <cell r="AJ23">
            <v>0</v>
          </cell>
          <cell r="AK23">
            <v>1311150</v>
          </cell>
          <cell r="AL23" t="str">
            <v>Oth Debt Clr Acct</v>
          </cell>
          <cell r="AM23">
            <v>0</v>
          </cell>
        </row>
        <row r="24">
          <cell r="A24">
            <v>1321130</v>
          </cell>
          <cell r="B24" t="str">
            <v>Accr/Prov Service</v>
          </cell>
          <cell r="C24">
            <v>1590169851</v>
          </cell>
          <cell r="G24">
            <v>1321130</v>
          </cell>
          <cell r="H24" t="str">
            <v>Accr/Prov Service</v>
          </cell>
          <cell r="I24">
            <v>-170745308</v>
          </cell>
          <cell r="J24">
            <v>1321990</v>
          </cell>
          <cell r="K24" t="str">
            <v>Accr/Prov Other</v>
          </cell>
          <cell r="L24">
            <v>-7751532</v>
          </cell>
          <cell r="M24">
            <v>1321140</v>
          </cell>
          <cell r="N24" t="str">
            <v>Accr/Prov Over Haul</v>
          </cell>
          <cell r="O24">
            <v>-1535676401</v>
          </cell>
          <cell r="P24">
            <v>1321140</v>
          </cell>
          <cell r="Q24" t="str">
            <v>Accr/Prov Over Haul</v>
          </cell>
          <cell r="R24">
            <v>-1816945558</v>
          </cell>
          <cell r="S24">
            <v>1331110</v>
          </cell>
          <cell r="T24" t="str">
            <v>Payroll Accr Sal/Wag</v>
          </cell>
          <cell r="U24">
            <v>15146585</v>
          </cell>
          <cell r="V24">
            <v>1311150</v>
          </cell>
          <cell r="W24" t="str">
            <v>Oth Debt Clr Acct</v>
          </cell>
          <cell r="X24">
            <v>4398810873</v>
          </cell>
          <cell r="Y24">
            <v>1311150</v>
          </cell>
          <cell r="Z24" t="str">
            <v>Oth Debt Clr Acct</v>
          </cell>
          <cell r="AA24">
            <v>15284910545</v>
          </cell>
          <cell r="AB24">
            <v>1321140</v>
          </cell>
          <cell r="AC24" t="str">
            <v>Accr/Prov Over Haul</v>
          </cell>
          <cell r="AD24">
            <v>-1022806017</v>
          </cell>
          <cell r="AE24">
            <v>1321130</v>
          </cell>
          <cell r="AF24" t="str">
            <v>Accr/Prov Service</v>
          </cell>
          <cell r="AG24">
            <v>1837629768</v>
          </cell>
          <cell r="AH24">
            <v>1321130</v>
          </cell>
          <cell r="AI24" t="str">
            <v>Accr/Prov Service</v>
          </cell>
          <cell r="AJ24">
            <v>-2549837</v>
          </cell>
          <cell r="AK24">
            <v>1321130</v>
          </cell>
          <cell r="AL24" t="str">
            <v>Accr/Prov Service</v>
          </cell>
          <cell r="AM24">
            <v>22000000</v>
          </cell>
        </row>
        <row r="25">
          <cell r="A25">
            <v>1321140</v>
          </cell>
          <cell r="B25" t="str">
            <v>Accr/Prov Over Haul</v>
          </cell>
          <cell r="C25">
            <v>-4957210122</v>
          </cell>
          <cell r="G25">
            <v>1321140</v>
          </cell>
          <cell r="H25" t="str">
            <v>Accr/Prov Over Haul</v>
          </cell>
          <cell r="I25">
            <v>-1113158149</v>
          </cell>
          <cell r="J25">
            <v>1331110</v>
          </cell>
          <cell r="K25" t="str">
            <v>Payroll Accr Sal/Wag</v>
          </cell>
          <cell r="L25">
            <v>-6085237</v>
          </cell>
          <cell r="M25">
            <v>1321170</v>
          </cell>
          <cell r="N25" t="str">
            <v>Accr/Prov Insurance</v>
          </cell>
          <cell r="O25">
            <v>-355798170</v>
          </cell>
          <cell r="P25">
            <v>1321170</v>
          </cell>
          <cell r="Q25" t="str">
            <v>Accr/Prov Insurance</v>
          </cell>
          <cell r="R25">
            <v>0</v>
          </cell>
          <cell r="S25">
            <v>1331120</v>
          </cell>
          <cell r="T25" t="str">
            <v>Payroll Accr Bonus</v>
          </cell>
          <cell r="U25">
            <v>-118548304</v>
          </cell>
          <cell r="V25">
            <v>1321130</v>
          </cell>
          <cell r="W25" t="str">
            <v>Accr/Prov Service</v>
          </cell>
          <cell r="X25">
            <v>-187239934</v>
          </cell>
          <cell r="Y25">
            <v>1321130</v>
          </cell>
          <cell r="Z25" t="str">
            <v>Accr/Prov Service</v>
          </cell>
          <cell r="AA25">
            <v>22204567</v>
          </cell>
          <cell r="AB25">
            <v>1321170</v>
          </cell>
          <cell r="AC25" t="str">
            <v>Accr/Prov Insurance</v>
          </cell>
          <cell r="AD25">
            <v>-4454422</v>
          </cell>
          <cell r="AE25">
            <v>1321140</v>
          </cell>
          <cell r="AF25" t="str">
            <v>Accr/Prov Over Haul</v>
          </cell>
          <cell r="AG25">
            <v>-2020073328</v>
          </cell>
          <cell r="AH25">
            <v>1321140</v>
          </cell>
          <cell r="AI25" t="str">
            <v>Accr/Prov Over Haul</v>
          </cell>
          <cell r="AJ25">
            <v>8716375923</v>
          </cell>
          <cell r="AK25">
            <v>1321140</v>
          </cell>
          <cell r="AL25" t="str">
            <v>Accr/Prov Over Haul</v>
          </cell>
          <cell r="AM25">
            <v>6551001997</v>
          </cell>
        </row>
        <row r="26">
          <cell r="A26">
            <v>1321170</v>
          </cell>
          <cell r="B26" t="str">
            <v>Accr/Prov Insurance</v>
          </cell>
          <cell r="C26">
            <v>1128776176</v>
          </cell>
          <cell r="G26">
            <v>1321990</v>
          </cell>
          <cell r="H26" t="str">
            <v>Accr/Prov Other</v>
          </cell>
          <cell r="I26">
            <v>-1989006016</v>
          </cell>
          <cell r="J26">
            <v>1331120</v>
          </cell>
          <cell r="K26" t="str">
            <v>Payroll Accr Bonus</v>
          </cell>
          <cell r="L26">
            <v>590252930</v>
          </cell>
          <cell r="M26">
            <v>1321190</v>
          </cell>
          <cell r="N26" t="str">
            <v>Accr/Prov Inc Insrnc</v>
          </cell>
          <cell r="O26">
            <v>-13363000</v>
          </cell>
          <cell r="P26">
            <v>1321990</v>
          </cell>
          <cell r="Q26" t="str">
            <v>Accr/Prov Other</v>
          </cell>
          <cell r="R26">
            <v>2789386556</v>
          </cell>
          <cell r="S26">
            <v>1331130</v>
          </cell>
          <cell r="T26" t="str">
            <v>Payroll Accr THR</v>
          </cell>
          <cell r="U26">
            <v>-86214660</v>
          </cell>
          <cell r="V26">
            <v>1321140</v>
          </cell>
          <cell r="W26" t="str">
            <v>Accr/Prov Over Haul</v>
          </cell>
          <cell r="X26">
            <v>43113008</v>
          </cell>
          <cell r="Y26">
            <v>1321140</v>
          </cell>
          <cell r="Z26" t="str">
            <v>Accr/Prov Over Haul</v>
          </cell>
          <cell r="AA26">
            <v>-2131398157</v>
          </cell>
          <cell r="AB26">
            <v>1321190</v>
          </cell>
          <cell r="AC26" t="str">
            <v>Accr/Prov Inc Insrnc</v>
          </cell>
          <cell r="AD26">
            <v>-5435800</v>
          </cell>
          <cell r="AE26">
            <v>1321170</v>
          </cell>
          <cell r="AF26" t="str">
            <v>Accr/Prov Insurance</v>
          </cell>
          <cell r="AG26">
            <v>-1098269046</v>
          </cell>
          <cell r="AH26">
            <v>1321170</v>
          </cell>
          <cell r="AI26" t="str">
            <v>Accr/Prov Insurance</v>
          </cell>
          <cell r="AJ26">
            <v>6533560</v>
          </cell>
          <cell r="AK26">
            <v>1321170</v>
          </cell>
          <cell r="AL26" t="str">
            <v>Accr/Prov Insurance</v>
          </cell>
          <cell r="AM26">
            <v>0</v>
          </cell>
        </row>
        <row r="27">
          <cell r="A27">
            <v>1321190</v>
          </cell>
          <cell r="B27" t="str">
            <v>Accr/Prov Inc Insrnc</v>
          </cell>
          <cell r="C27">
            <v>18798800</v>
          </cell>
          <cell r="G27">
            <v>1331110</v>
          </cell>
          <cell r="H27" t="str">
            <v>Payroll Accr Sal/Wag</v>
          </cell>
          <cell r="I27">
            <v>-1368927</v>
          </cell>
          <cell r="J27">
            <v>1331130</v>
          </cell>
          <cell r="K27" t="str">
            <v>Payroll Accr THR</v>
          </cell>
          <cell r="L27">
            <v>-69857140</v>
          </cell>
          <cell r="M27">
            <v>1321990</v>
          </cell>
          <cell r="N27" t="str">
            <v>Accr/Prov Other</v>
          </cell>
          <cell r="O27">
            <v>-2633951427</v>
          </cell>
          <cell r="P27">
            <v>1331110</v>
          </cell>
          <cell r="Q27" t="str">
            <v>Payroll Accr Sal/Wag</v>
          </cell>
          <cell r="R27">
            <v>35521733</v>
          </cell>
          <cell r="S27">
            <v>1331140</v>
          </cell>
          <cell r="T27" t="str">
            <v>Payroll Accr Pen/CPF</v>
          </cell>
          <cell r="U27">
            <v>-3461774</v>
          </cell>
          <cell r="V27">
            <v>1321170</v>
          </cell>
          <cell r="W27" t="str">
            <v>Accr/Prov Insurance</v>
          </cell>
          <cell r="X27">
            <v>0</v>
          </cell>
          <cell r="Y27">
            <v>1321170</v>
          </cell>
          <cell r="Z27" t="str">
            <v>Accr/Prov Insurance</v>
          </cell>
          <cell r="AA27">
            <v>-30553770</v>
          </cell>
          <cell r="AB27">
            <v>1321990</v>
          </cell>
          <cell r="AC27" t="str">
            <v>Accr/Prov Other</v>
          </cell>
          <cell r="AD27">
            <v>4588225011</v>
          </cell>
          <cell r="AE27">
            <v>1321990</v>
          </cell>
          <cell r="AF27" t="str">
            <v>Accr/Prov Other</v>
          </cell>
          <cell r="AG27">
            <v>-8636762718</v>
          </cell>
          <cell r="AH27">
            <v>1321990</v>
          </cell>
          <cell r="AI27" t="str">
            <v>Accr/Prov Other</v>
          </cell>
          <cell r="AJ27">
            <v>-3173141858</v>
          </cell>
          <cell r="AK27">
            <v>1321190</v>
          </cell>
          <cell r="AL27" t="str">
            <v>Accr/Prov Inc Insrnc</v>
          </cell>
          <cell r="AM27">
            <v>250000</v>
          </cell>
        </row>
        <row r="28">
          <cell r="A28">
            <v>1321990</v>
          </cell>
          <cell r="B28" t="str">
            <v>Accr/Prov Other</v>
          </cell>
          <cell r="C28">
            <v>-264053043</v>
          </cell>
          <cell r="G28">
            <v>1331120</v>
          </cell>
          <cell r="H28" t="str">
            <v>Payroll Accr Bonus</v>
          </cell>
          <cell r="I28">
            <v>-97070750</v>
          </cell>
          <cell r="J28">
            <v>1331140</v>
          </cell>
          <cell r="K28" t="str">
            <v>Payroll Accr Pen/CPF</v>
          </cell>
          <cell r="L28">
            <v>-2422619</v>
          </cell>
          <cell r="M28">
            <v>1331110</v>
          </cell>
          <cell r="N28" t="str">
            <v>Payroll Accr Sal/Wag</v>
          </cell>
          <cell r="O28">
            <v>29571209</v>
          </cell>
          <cell r="P28">
            <v>1331120</v>
          </cell>
          <cell r="Q28" t="str">
            <v>Payroll Accr Bonus</v>
          </cell>
          <cell r="R28">
            <v>-103714438</v>
          </cell>
          <cell r="S28">
            <v>1331150</v>
          </cell>
          <cell r="T28" t="str">
            <v>Payroll Accr Tax21</v>
          </cell>
          <cell r="U28">
            <v>-8263763</v>
          </cell>
          <cell r="V28">
            <v>1321990</v>
          </cell>
          <cell r="W28" t="str">
            <v>Accr/Prov Other</v>
          </cell>
          <cell r="X28">
            <v>3754371126</v>
          </cell>
          <cell r="Y28">
            <v>1321990</v>
          </cell>
          <cell r="Z28" t="str">
            <v>Accr/Prov Other</v>
          </cell>
          <cell r="AA28">
            <v>-7743258607</v>
          </cell>
          <cell r="AB28">
            <v>1331110</v>
          </cell>
          <cell r="AC28" t="str">
            <v>Payroll Accr Sal/Wag</v>
          </cell>
          <cell r="AD28">
            <v>-295015096</v>
          </cell>
          <cell r="AE28">
            <v>1331110</v>
          </cell>
          <cell r="AF28" t="str">
            <v>Payroll Accr Sal/Wag</v>
          </cell>
          <cell r="AG28">
            <v>543515198</v>
          </cell>
          <cell r="AH28">
            <v>1331110</v>
          </cell>
          <cell r="AI28" t="str">
            <v>Payroll Accr Sal/Wag</v>
          </cell>
          <cell r="AJ28">
            <v>-349471347</v>
          </cell>
          <cell r="AK28">
            <v>1321990</v>
          </cell>
          <cell r="AL28" t="str">
            <v>Accr/Prov Other</v>
          </cell>
          <cell r="AM28">
            <v>22285142643</v>
          </cell>
        </row>
        <row r="29">
          <cell r="A29">
            <v>1331110</v>
          </cell>
          <cell r="B29" t="str">
            <v>Payroll Accr Sal/Wag</v>
          </cell>
          <cell r="C29">
            <v>-19266858</v>
          </cell>
          <cell r="G29">
            <v>1331130</v>
          </cell>
          <cell r="H29" t="str">
            <v>Payroll Accr THR</v>
          </cell>
          <cell r="I29">
            <v>-69106322</v>
          </cell>
          <cell r="J29">
            <v>1331150</v>
          </cell>
          <cell r="K29" t="str">
            <v>Payroll Accr Tax21</v>
          </cell>
          <cell r="L29">
            <v>-5302614</v>
          </cell>
          <cell r="M29">
            <v>1331120</v>
          </cell>
          <cell r="N29" t="str">
            <v>Payroll Accr Bonus</v>
          </cell>
          <cell r="O29">
            <v>-108927056</v>
          </cell>
          <cell r="P29">
            <v>1331130</v>
          </cell>
          <cell r="Q29" t="str">
            <v>Payroll Accr THR</v>
          </cell>
          <cell r="R29">
            <v>-83785998</v>
          </cell>
          <cell r="S29">
            <v>1331170</v>
          </cell>
          <cell r="T29" t="str">
            <v>Payroll Accr ASTEK</v>
          </cell>
          <cell r="U29">
            <v>-13185015</v>
          </cell>
          <cell r="V29">
            <v>1331110</v>
          </cell>
          <cell r="W29" t="str">
            <v>Payroll Accr Sal/Wag</v>
          </cell>
          <cell r="X29">
            <v>102647081</v>
          </cell>
          <cell r="Y29">
            <v>1331110</v>
          </cell>
          <cell r="Z29" t="str">
            <v>Payroll Accr Sal/Wag</v>
          </cell>
          <cell r="AA29">
            <v>-60029559</v>
          </cell>
          <cell r="AB29">
            <v>1331120</v>
          </cell>
          <cell r="AC29" t="str">
            <v>Payroll Accr Bonus</v>
          </cell>
          <cell r="AD29">
            <v>-129420405</v>
          </cell>
          <cell r="AE29">
            <v>1331120</v>
          </cell>
          <cell r="AF29" t="str">
            <v>Payroll Accr Bonus</v>
          </cell>
          <cell r="AG29">
            <v>-129722196</v>
          </cell>
          <cell r="AH29">
            <v>1331120</v>
          </cell>
          <cell r="AI29" t="str">
            <v>Payroll Accr Bonus</v>
          </cell>
          <cell r="AJ29">
            <v>-115210977</v>
          </cell>
          <cell r="AK29">
            <v>1331110</v>
          </cell>
          <cell r="AL29" t="str">
            <v>Payroll Accr Sal/Wag</v>
          </cell>
          <cell r="AM29">
            <v>766921983</v>
          </cell>
        </row>
        <row r="30">
          <cell r="A30">
            <v>1331120</v>
          </cell>
          <cell r="B30" t="str">
            <v>Payroll Accr Bonus</v>
          </cell>
          <cell r="C30">
            <v>-636166996</v>
          </cell>
          <cell r="G30">
            <v>1331140</v>
          </cell>
          <cell r="H30" t="str">
            <v>Payroll Accr Pen/CPF</v>
          </cell>
          <cell r="I30">
            <v>-489767</v>
          </cell>
          <cell r="J30">
            <v>1331170</v>
          </cell>
          <cell r="K30" t="str">
            <v>Payroll Accr ASTEK</v>
          </cell>
          <cell r="L30">
            <v>-626550</v>
          </cell>
          <cell r="M30">
            <v>1331130</v>
          </cell>
          <cell r="N30" t="str">
            <v>Payroll Accr THR</v>
          </cell>
          <cell r="O30">
            <v>-73794550</v>
          </cell>
          <cell r="P30">
            <v>1331140</v>
          </cell>
          <cell r="Q30" t="str">
            <v>Payroll Accr Pen/CPF</v>
          </cell>
          <cell r="R30">
            <v>-2217687</v>
          </cell>
          <cell r="S30">
            <v>1331990</v>
          </cell>
          <cell r="T30" t="str">
            <v>Payroll Accr Other</v>
          </cell>
          <cell r="U30">
            <v>23980148</v>
          </cell>
          <cell r="V30">
            <v>1331120</v>
          </cell>
          <cell r="W30" t="str">
            <v>Payroll Accr Bonus</v>
          </cell>
          <cell r="X30">
            <v>-126848053</v>
          </cell>
          <cell r="Y30">
            <v>1331120</v>
          </cell>
          <cell r="Z30" t="str">
            <v>Payroll Accr Bonus</v>
          </cell>
          <cell r="AA30">
            <v>-129397838</v>
          </cell>
          <cell r="AB30">
            <v>1331130</v>
          </cell>
          <cell r="AC30" t="str">
            <v>Payroll Accr THR</v>
          </cell>
          <cell r="AD30">
            <v>-91644414</v>
          </cell>
          <cell r="AE30">
            <v>1331130</v>
          </cell>
          <cell r="AF30" t="str">
            <v>Payroll Accr THR</v>
          </cell>
          <cell r="AG30">
            <v>670847911</v>
          </cell>
          <cell r="AH30">
            <v>1331130</v>
          </cell>
          <cell r="AI30" t="str">
            <v>Payroll Accr THR</v>
          </cell>
          <cell r="AJ30">
            <v>-76525323</v>
          </cell>
          <cell r="AK30">
            <v>1331120</v>
          </cell>
          <cell r="AL30" t="str">
            <v>Payroll Accr Bonus</v>
          </cell>
          <cell r="AM30">
            <v>-116021567</v>
          </cell>
        </row>
        <row r="31">
          <cell r="A31">
            <v>1331140</v>
          </cell>
          <cell r="B31" t="str">
            <v>Payroll Accr Pen/CPF</v>
          </cell>
          <cell r="C31">
            <v>-592960762</v>
          </cell>
          <cell r="G31">
            <v>1331150</v>
          </cell>
          <cell r="H31" t="str">
            <v>Payroll Accr Tax21</v>
          </cell>
          <cell r="I31">
            <v>-9378383</v>
          </cell>
          <cell r="J31">
            <v>1331990</v>
          </cell>
          <cell r="K31" t="str">
            <v>Payroll Accr Other</v>
          </cell>
          <cell r="L31">
            <v>14762100</v>
          </cell>
          <cell r="M31">
            <v>1331140</v>
          </cell>
          <cell r="N31" t="str">
            <v>Payroll Accr Pen/CPF</v>
          </cell>
          <cell r="O31">
            <v>-2757274</v>
          </cell>
          <cell r="P31">
            <v>1331150</v>
          </cell>
          <cell r="Q31" t="str">
            <v>Payroll Accr Tax21</v>
          </cell>
          <cell r="R31">
            <v>-35438186</v>
          </cell>
          <cell r="S31">
            <v>1341150</v>
          </cell>
          <cell r="T31" t="str">
            <v>O/head Acr Insurance</v>
          </cell>
          <cell r="U31">
            <v>-17471056</v>
          </cell>
          <cell r="V31">
            <v>1331130</v>
          </cell>
          <cell r="W31" t="str">
            <v>Payroll Accr THR</v>
          </cell>
          <cell r="X31">
            <v>-89486194</v>
          </cell>
          <cell r="Y31">
            <v>1331130</v>
          </cell>
          <cell r="Z31" t="str">
            <v>Payroll Accr THR</v>
          </cell>
          <cell r="AA31">
            <v>-94443055</v>
          </cell>
          <cell r="AB31">
            <v>1331140</v>
          </cell>
          <cell r="AC31" t="str">
            <v>Payroll Accr Pen/CPF</v>
          </cell>
          <cell r="AD31">
            <v>-3477953</v>
          </cell>
          <cell r="AE31">
            <v>1331140</v>
          </cell>
          <cell r="AF31" t="str">
            <v>Payroll Accr Pen/CPF</v>
          </cell>
          <cell r="AG31">
            <v>-50363022</v>
          </cell>
          <cell r="AH31">
            <v>1331140</v>
          </cell>
          <cell r="AI31" t="str">
            <v>Payroll Accr Pen/CPF</v>
          </cell>
          <cell r="AJ31">
            <v>-176891</v>
          </cell>
          <cell r="AK31">
            <v>1331130</v>
          </cell>
          <cell r="AL31" t="str">
            <v>Payroll Accr THR</v>
          </cell>
          <cell r="AM31">
            <v>-88492763</v>
          </cell>
        </row>
        <row r="32">
          <cell r="A32">
            <v>1331150</v>
          </cell>
          <cell r="B32" t="str">
            <v>Payroll Accr Tax21</v>
          </cell>
          <cell r="C32">
            <v>-100635409</v>
          </cell>
          <cell r="G32">
            <v>1331170</v>
          </cell>
          <cell r="H32" t="str">
            <v>Payroll Accr ASTEK</v>
          </cell>
          <cell r="I32">
            <v>-5705622</v>
          </cell>
          <cell r="J32">
            <v>1341150</v>
          </cell>
          <cell r="K32" t="str">
            <v>O/head Acr Insurance</v>
          </cell>
          <cell r="L32">
            <v>-14103327</v>
          </cell>
          <cell r="M32">
            <v>1331150</v>
          </cell>
          <cell r="N32" t="str">
            <v>Payroll Accr Tax21</v>
          </cell>
          <cell r="O32">
            <v>138100674</v>
          </cell>
          <cell r="P32">
            <v>1331170</v>
          </cell>
          <cell r="Q32" t="str">
            <v>Payroll Accr ASTEK</v>
          </cell>
          <cell r="R32">
            <v>-8231842</v>
          </cell>
          <cell r="S32">
            <v>1341990</v>
          </cell>
          <cell r="T32" t="str">
            <v>Overhead Accr Other</v>
          </cell>
          <cell r="U32">
            <v>237821492</v>
          </cell>
          <cell r="V32">
            <v>1331140</v>
          </cell>
          <cell r="W32" t="str">
            <v>Payroll Accr Pen/CPF</v>
          </cell>
          <cell r="X32">
            <v>-54497173</v>
          </cell>
          <cell r="Y32">
            <v>1331140</v>
          </cell>
          <cell r="Z32" t="str">
            <v>Payroll Accr Pen/CPF</v>
          </cell>
          <cell r="AA32">
            <v>45430535</v>
          </cell>
          <cell r="AB32">
            <v>1331150</v>
          </cell>
          <cell r="AC32" t="str">
            <v>Payroll Accr Tax21</v>
          </cell>
          <cell r="AD32">
            <v>-58166039</v>
          </cell>
          <cell r="AE32">
            <v>1331150</v>
          </cell>
          <cell r="AF32" t="str">
            <v>Payroll Accr Tax21</v>
          </cell>
          <cell r="AG32">
            <v>-115650117</v>
          </cell>
          <cell r="AH32">
            <v>1331150</v>
          </cell>
          <cell r="AI32" t="str">
            <v>Payroll Accr Tax21</v>
          </cell>
          <cell r="AJ32">
            <v>140769990</v>
          </cell>
          <cell r="AK32">
            <v>1331140</v>
          </cell>
          <cell r="AL32" t="str">
            <v>Payroll Accr Pen/CPF</v>
          </cell>
          <cell r="AM32">
            <v>-1967307</v>
          </cell>
        </row>
        <row r="33">
          <cell r="A33">
            <v>1331170</v>
          </cell>
          <cell r="B33" t="str">
            <v>Payroll Accr ASTEK</v>
          </cell>
          <cell r="C33">
            <v>-66034505</v>
          </cell>
          <cell r="G33">
            <v>1331990</v>
          </cell>
          <cell r="H33" t="str">
            <v>Payroll Accr Other</v>
          </cell>
          <cell r="I33">
            <v>19228950</v>
          </cell>
          <cell r="J33">
            <v>1341990</v>
          </cell>
          <cell r="K33" t="str">
            <v>Overhead Accr Other</v>
          </cell>
          <cell r="L33">
            <v>65295000</v>
          </cell>
          <cell r="M33">
            <v>1331170</v>
          </cell>
          <cell r="N33" t="str">
            <v>Payroll Accr ASTEK</v>
          </cell>
          <cell r="O33">
            <v>-3124823</v>
          </cell>
          <cell r="P33">
            <v>1331990</v>
          </cell>
          <cell r="Q33" t="str">
            <v>Payroll Accr Other</v>
          </cell>
          <cell r="R33">
            <v>11926100</v>
          </cell>
          <cell r="S33">
            <v>1351110</v>
          </cell>
          <cell r="T33" t="str">
            <v>Adv Pmt &amp; Def Income</v>
          </cell>
          <cell r="U33">
            <v>0</v>
          </cell>
          <cell r="V33">
            <v>1331150</v>
          </cell>
          <cell r="W33" t="str">
            <v>Payroll Accr Tax21</v>
          </cell>
          <cell r="X33">
            <v>12816768</v>
          </cell>
          <cell r="Y33">
            <v>1331150</v>
          </cell>
          <cell r="Z33" t="str">
            <v>Payroll Accr Tax21</v>
          </cell>
          <cell r="AA33">
            <v>16326489</v>
          </cell>
          <cell r="AB33">
            <v>1331170</v>
          </cell>
          <cell r="AC33" t="str">
            <v>Payroll Accr ASTEK</v>
          </cell>
          <cell r="AD33">
            <v>1132587</v>
          </cell>
          <cell r="AE33">
            <v>1331170</v>
          </cell>
          <cell r="AF33" t="str">
            <v>Payroll Accr ASTEK</v>
          </cell>
          <cell r="AG33">
            <v>-4062685</v>
          </cell>
          <cell r="AH33">
            <v>1331170</v>
          </cell>
          <cell r="AI33" t="str">
            <v>Payroll Accr ASTEK</v>
          </cell>
          <cell r="AJ33">
            <v>3293638</v>
          </cell>
          <cell r="AK33">
            <v>1331150</v>
          </cell>
          <cell r="AL33" t="str">
            <v>Payroll Accr Tax21</v>
          </cell>
          <cell r="AM33">
            <v>12153708</v>
          </cell>
        </row>
        <row r="34">
          <cell r="A34">
            <v>1341150</v>
          </cell>
          <cell r="B34" t="str">
            <v>O/head Acr Insurance</v>
          </cell>
          <cell r="C34">
            <v>-172509171</v>
          </cell>
          <cell r="G34">
            <v>1341150</v>
          </cell>
          <cell r="H34" t="str">
            <v>O/head Acr Insurance</v>
          </cell>
          <cell r="I34">
            <v>-13931305</v>
          </cell>
          <cell r="J34">
            <v>1351110</v>
          </cell>
          <cell r="K34" t="str">
            <v>Adv Pmt &amp; Def Income</v>
          </cell>
          <cell r="L34">
            <v>-36885210</v>
          </cell>
          <cell r="M34">
            <v>1331990</v>
          </cell>
          <cell r="N34" t="str">
            <v>Payroll Accr Other</v>
          </cell>
          <cell r="O34">
            <v>30470800</v>
          </cell>
          <cell r="P34">
            <v>1341150</v>
          </cell>
          <cell r="Q34" t="str">
            <v>O/head Acr Insurance</v>
          </cell>
          <cell r="R34">
            <v>-16960551</v>
          </cell>
          <cell r="S34">
            <v>1361120</v>
          </cell>
          <cell r="T34" t="str">
            <v>Employee</v>
          </cell>
          <cell r="U34">
            <v>-97676430</v>
          </cell>
          <cell r="V34">
            <v>1331170</v>
          </cell>
          <cell r="W34" t="str">
            <v>Payroll Accr ASTEK</v>
          </cell>
          <cell r="X34">
            <v>-65821186</v>
          </cell>
          <cell r="Y34">
            <v>1331170</v>
          </cell>
          <cell r="Z34" t="str">
            <v>Payroll Accr ASTEK</v>
          </cell>
          <cell r="AA34">
            <v>53262737</v>
          </cell>
          <cell r="AB34">
            <v>1331990</v>
          </cell>
          <cell r="AC34" t="str">
            <v>Payroll Accr Other</v>
          </cell>
          <cell r="AD34">
            <v>16126500</v>
          </cell>
          <cell r="AE34">
            <v>1331990</v>
          </cell>
          <cell r="AF34" t="str">
            <v>Payroll Accr Other</v>
          </cell>
          <cell r="AG34">
            <v>7231250</v>
          </cell>
          <cell r="AH34">
            <v>1331990</v>
          </cell>
          <cell r="AI34" t="str">
            <v>Payroll Accr Other</v>
          </cell>
          <cell r="AJ34">
            <v>3485000</v>
          </cell>
          <cell r="AK34">
            <v>1331170</v>
          </cell>
          <cell r="AL34" t="str">
            <v>Payroll Accr ASTEK</v>
          </cell>
          <cell r="AM34">
            <v>-6406495</v>
          </cell>
        </row>
        <row r="35">
          <cell r="A35">
            <v>1351110</v>
          </cell>
          <cell r="B35" t="str">
            <v>Adv Pmt &amp; Def Income</v>
          </cell>
          <cell r="C35">
            <v>-2957890472</v>
          </cell>
          <cell r="G35">
            <v>1341990</v>
          </cell>
          <cell r="H35" t="str">
            <v>Overhead Accr Other</v>
          </cell>
          <cell r="I35">
            <v>-65295000</v>
          </cell>
          <cell r="J35">
            <v>1361120</v>
          </cell>
          <cell r="K35" t="str">
            <v>Employee</v>
          </cell>
          <cell r="L35">
            <v>-85119828</v>
          </cell>
          <cell r="M35">
            <v>1341150</v>
          </cell>
          <cell r="N35" t="str">
            <v>O/head Acr Insurance</v>
          </cell>
          <cell r="O35">
            <v>-14865191</v>
          </cell>
          <cell r="P35">
            <v>1341990</v>
          </cell>
          <cell r="Q35" t="str">
            <v>Overhead Accr Other</v>
          </cell>
          <cell r="R35">
            <v>330165894</v>
          </cell>
          <cell r="S35">
            <v>1361129</v>
          </cell>
          <cell r="T35" t="str">
            <v>Employee Revalue Acc</v>
          </cell>
          <cell r="U35">
            <v>15945</v>
          </cell>
          <cell r="V35">
            <v>1331990</v>
          </cell>
          <cell r="W35" t="str">
            <v>Payroll Accr Other</v>
          </cell>
          <cell r="X35">
            <v>22763196</v>
          </cell>
          <cell r="Y35">
            <v>1331990</v>
          </cell>
          <cell r="Z35" t="str">
            <v>Payroll Accr Other</v>
          </cell>
          <cell r="AA35">
            <v>15446209</v>
          </cell>
          <cell r="AB35">
            <v>1341150</v>
          </cell>
          <cell r="AC35" t="str">
            <v>O/head Acr Insurance</v>
          </cell>
          <cell r="AD35">
            <v>-18490810</v>
          </cell>
          <cell r="AE35">
            <v>1341150</v>
          </cell>
          <cell r="AF35" t="str">
            <v>O/head Acr Insurance</v>
          </cell>
          <cell r="AG35">
            <v>-18529037</v>
          </cell>
          <cell r="AH35">
            <v>1341150</v>
          </cell>
          <cell r="AI35" t="str">
            <v>O/head Acr Insurance</v>
          </cell>
          <cell r="AJ35">
            <v>-17461102</v>
          </cell>
          <cell r="AK35">
            <v>1331990</v>
          </cell>
          <cell r="AL35" t="str">
            <v>Payroll Accr Other</v>
          </cell>
          <cell r="AM35">
            <v>9484000</v>
          </cell>
        </row>
        <row r="36">
          <cell r="A36">
            <v>1361120</v>
          </cell>
          <cell r="B36" t="str">
            <v>Employee</v>
          </cell>
          <cell r="C36">
            <v>337273926</v>
          </cell>
          <cell r="G36">
            <v>1351110</v>
          </cell>
          <cell r="H36" t="str">
            <v>Adv Pmt &amp; Def Income</v>
          </cell>
          <cell r="I36">
            <v>-191805118</v>
          </cell>
          <cell r="J36">
            <v>1411110</v>
          </cell>
          <cell r="K36" t="str">
            <v>Input Tax</v>
          </cell>
          <cell r="L36">
            <v>1754398111</v>
          </cell>
          <cell r="M36">
            <v>1341990</v>
          </cell>
          <cell r="N36" t="str">
            <v>Overhead Accr Other</v>
          </cell>
          <cell r="O36">
            <v>-244257696</v>
          </cell>
          <cell r="P36">
            <v>1351110</v>
          </cell>
          <cell r="Q36" t="str">
            <v>Adv Pmt &amp; Def Income</v>
          </cell>
          <cell r="R36">
            <v>292655746</v>
          </cell>
          <cell r="S36">
            <v>1411110</v>
          </cell>
          <cell r="T36" t="str">
            <v>Input Tax</v>
          </cell>
          <cell r="U36">
            <v>6294774625</v>
          </cell>
          <cell r="V36">
            <v>1341150</v>
          </cell>
          <cell r="W36" t="str">
            <v>O/head Acr Insurance</v>
          </cell>
          <cell r="X36">
            <v>-18112007</v>
          </cell>
          <cell r="Y36">
            <v>1341150</v>
          </cell>
          <cell r="Z36" t="str">
            <v>O/head Acr Insurance</v>
          </cell>
          <cell r="AA36">
            <v>-19114715</v>
          </cell>
          <cell r="AB36">
            <v>1341990</v>
          </cell>
          <cell r="AC36" t="str">
            <v>Overhead Accr Other</v>
          </cell>
          <cell r="AD36">
            <v>-308898992</v>
          </cell>
          <cell r="AE36">
            <v>1341990</v>
          </cell>
          <cell r="AF36" t="str">
            <v>Overhead Accr Other</v>
          </cell>
          <cell r="AG36">
            <v>-350902371</v>
          </cell>
          <cell r="AH36">
            <v>1341990</v>
          </cell>
          <cell r="AI36" t="str">
            <v>Overhead Accr Other</v>
          </cell>
          <cell r="AJ36">
            <v>1093801363</v>
          </cell>
          <cell r="AK36">
            <v>1341150</v>
          </cell>
          <cell r="AL36" t="str">
            <v>O/head Acr Insurance</v>
          </cell>
          <cell r="AM36">
            <v>-17724601</v>
          </cell>
        </row>
        <row r="37">
          <cell r="A37">
            <v>1361129</v>
          </cell>
          <cell r="B37" t="str">
            <v>Employee Revalue Acc</v>
          </cell>
          <cell r="C37">
            <v>0</v>
          </cell>
          <cell r="G37">
            <v>1361120</v>
          </cell>
          <cell r="H37" t="str">
            <v>Employee</v>
          </cell>
          <cell r="I37">
            <v>-11756665</v>
          </cell>
          <cell r="J37">
            <v>1411120</v>
          </cell>
          <cell r="K37" t="str">
            <v>Output Tax</v>
          </cell>
          <cell r="L37">
            <v>-1644355875</v>
          </cell>
          <cell r="M37">
            <v>1351110</v>
          </cell>
          <cell r="N37" t="str">
            <v>Adv Pmt &amp; Def Income</v>
          </cell>
          <cell r="O37">
            <v>371491157</v>
          </cell>
          <cell r="P37">
            <v>1361120</v>
          </cell>
          <cell r="Q37" t="str">
            <v>Employee</v>
          </cell>
          <cell r="R37">
            <v>-13907447</v>
          </cell>
          <cell r="S37">
            <v>1411120</v>
          </cell>
          <cell r="T37" t="str">
            <v>Output Tax</v>
          </cell>
          <cell r="U37">
            <v>-1891956820</v>
          </cell>
          <cell r="V37">
            <v>1341990</v>
          </cell>
          <cell r="W37" t="str">
            <v>Overhead Accr Other</v>
          </cell>
          <cell r="X37">
            <v>505919816</v>
          </cell>
          <cell r="Y37">
            <v>1341990</v>
          </cell>
          <cell r="Z37" t="str">
            <v>Overhead Accr Other</v>
          </cell>
          <cell r="AA37">
            <v>-51500000</v>
          </cell>
          <cell r="AB37">
            <v>1351110</v>
          </cell>
          <cell r="AC37" t="str">
            <v>Adv Pmt &amp; Def Income</v>
          </cell>
          <cell r="AD37">
            <v>-430950000</v>
          </cell>
          <cell r="AE37">
            <v>1351110</v>
          </cell>
          <cell r="AF37" t="str">
            <v>Adv Pmt &amp; Def Income</v>
          </cell>
          <cell r="AG37">
            <v>271681548</v>
          </cell>
          <cell r="AH37">
            <v>1351110</v>
          </cell>
          <cell r="AI37" t="str">
            <v>Adv Pmt &amp; Def Income</v>
          </cell>
          <cell r="AJ37">
            <v>0</v>
          </cell>
          <cell r="AK37">
            <v>1341990</v>
          </cell>
          <cell r="AL37" t="str">
            <v>Overhead Accr Other</v>
          </cell>
          <cell r="AM37">
            <v>-1002400000</v>
          </cell>
        </row>
        <row r="38">
          <cell r="A38">
            <v>1411110</v>
          </cell>
          <cell r="B38" t="str">
            <v>Input Tax</v>
          </cell>
          <cell r="C38">
            <v>54346548191</v>
          </cell>
          <cell r="G38">
            <v>1411110</v>
          </cell>
          <cell r="H38" t="str">
            <v>Input Tax</v>
          </cell>
          <cell r="I38">
            <v>2104470671</v>
          </cell>
          <cell r="J38">
            <v>1411130</v>
          </cell>
          <cell r="K38" t="str">
            <v>VAT Cal Inp &amp; Out</v>
          </cell>
          <cell r="L38">
            <v>0</v>
          </cell>
          <cell r="M38">
            <v>1361120</v>
          </cell>
          <cell r="N38" t="str">
            <v>Employee</v>
          </cell>
          <cell r="O38">
            <v>84726571</v>
          </cell>
          <cell r="P38">
            <v>1361129</v>
          </cell>
          <cell r="Q38" t="str">
            <v>Employee Revalue Acc</v>
          </cell>
          <cell r="R38">
            <v>0</v>
          </cell>
          <cell r="S38">
            <v>1411130</v>
          </cell>
          <cell r="T38" t="str">
            <v>VAT Cal Inp &amp; Out</v>
          </cell>
          <cell r="U38">
            <v>0</v>
          </cell>
          <cell r="V38">
            <v>1351110</v>
          </cell>
          <cell r="W38" t="str">
            <v>Adv Pmt &amp; Def Income</v>
          </cell>
          <cell r="X38">
            <v>0</v>
          </cell>
          <cell r="Y38">
            <v>1351110</v>
          </cell>
          <cell r="Z38" t="str">
            <v>Adv Pmt &amp; Def Income</v>
          </cell>
          <cell r="AA38">
            <v>0</v>
          </cell>
          <cell r="AB38">
            <v>1361120</v>
          </cell>
          <cell r="AC38" t="str">
            <v>Employee</v>
          </cell>
          <cell r="AD38">
            <v>60162188</v>
          </cell>
          <cell r="AE38">
            <v>1351990</v>
          </cell>
          <cell r="AF38" t="str">
            <v>Ad Py &amp; Df In Other</v>
          </cell>
          <cell r="AG38">
            <v>33600000</v>
          </cell>
          <cell r="AH38">
            <v>1351990</v>
          </cell>
          <cell r="AI38" t="str">
            <v>Ad Py &amp; Df In Other</v>
          </cell>
          <cell r="AJ38">
            <v>17050000</v>
          </cell>
          <cell r="AK38">
            <v>1351110</v>
          </cell>
          <cell r="AL38" t="str">
            <v>Adv Pmt &amp; Def Income</v>
          </cell>
          <cell r="AM38">
            <v>95712480</v>
          </cell>
        </row>
        <row r="39">
          <cell r="A39">
            <v>1411120</v>
          </cell>
          <cell r="B39" t="str">
            <v>Output Tax</v>
          </cell>
          <cell r="C39">
            <v>-62163874883</v>
          </cell>
          <cell r="G39">
            <v>1411120</v>
          </cell>
          <cell r="H39" t="str">
            <v>Output Tax</v>
          </cell>
          <cell r="I39">
            <v>-1491344580</v>
          </cell>
          <cell r="J39">
            <v>2111120</v>
          </cell>
          <cell r="K39" t="str">
            <v>Cons In Prog (Owned)</v>
          </cell>
          <cell r="L39">
            <v>0</v>
          </cell>
          <cell r="M39">
            <v>1361129</v>
          </cell>
          <cell r="N39" t="str">
            <v>Employee Revalue Acc</v>
          </cell>
          <cell r="O39">
            <v>0</v>
          </cell>
          <cell r="P39">
            <v>1411110</v>
          </cell>
          <cell r="Q39" t="str">
            <v>Input Tax</v>
          </cell>
          <cell r="R39">
            <v>1998290934</v>
          </cell>
          <cell r="S39">
            <v>2111130</v>
          </cell>
          <cell r="T39" t="str">
            <v>Plant &amp; Eqp (Owned)</v>
          </cell>
          <cell r="U39">
            <v>509267975</v>
          </cell>
          <cell r="V39">
            <v>1361120</v>
          </cell>
          <cell r="W39" t="str">
            <v>Employee</v>
          </cell>
          <cell r="X39">
            <v>-19103429</v>
          </cell>
          <cell r="Y39">
            <v>1361120</v>
          </cell>
          <cell r="Z39" t="str">
            <v>Employee</v>
          </cell>
          <cell r="AA39">
            <v>51729520</v>
          </cell>
          <cell r="AB39">
            <v>1361129</v>
          </cell>
          <cell r="AC39" t="str">
            <v>Employee Revalue Acc</v>
          </cell>
          <cell r="AD39">
            <v>-49273</v>
          </cell>
          <cell r="AE39">
            <v>1361120</v>
          </cell>
          <cell r="AF39" t="str">
            <v>Employee</v>
          </cell>
          <cell r="AG39">
            <v>107317722</v>
          </cell>
          <cell r="AH39">
            <v>1361120</v>
          </cell>
          <cell r="AI39" t="str">
            <v>Employee</v>
          </cell>
          <cell r="AJ39">
            <v>925224</v>
          </cell>
          <cell r="AK39">
            <v>1351990</v>
          </cell>
          <cell r="AL39" t="str">
            <v>Ad Py &amp; Df In Other</v>
          </cell>
          <cell r="AM39">
            <v>33900000</v>
          </cell>
        </row>
        <row r="40">
          <cell r="A40">
            <v>1411130</v>
          </cell>
          <cell r="B40" t="str">
            <v>VAT Cal Inp &amp; Out</v>
          </cell>
          <cell r="C40">
            <v>10279413961</v>
          </cell>
          <cell r="G40">
            <v>1411130</v>
          </cell>
          <cell r="H40" t="str">
            <v>VAT Cal Inp &amp; Out</v>
          </cell>
          <cell r="I40">
            <v>0</v>
          </cell>
          <cell r="J40">
            <v>2111130</v>
          </cell>
          <cell r="K40" t="str">
            <v>Plant &amp; Eqp (Owned)</v>
          </cell>
          <cell r="L40">
            <v>202810000</v>
          </cell>
          <cell r="M40">
            <v>1411110</v>
          </cell>
          <cell r="N40" t="str">
            <v>Input Tax</v>
          </cell>
          <cell r="O40">
            <v>1127148636</v>
          </cell>
          <cell r="P40">
            <v>1411120</v>
          </cell>
          <cell r="Q40" t="str">
            <v>Output Tax</v>
          </cell>
          <cell r="R40">
            <v>-1518066140</v>
          </cell>
          <cell r="S40">
            <v>2111150</v>
          </cell>
          <cell r="T40" t="str">
            <v>Motor Vehs (Owned)</v>
          </cell>
          <cell r="U40">
            <v>0</v>
          </cell>
          <cell r="V40">
            <v>1361129</v>
          </cell>
          <cell r="W40" t="str">
            <v>Employee Revalue Acc</v>
          </cell>
          <cell r="X40">
            <v>-233860</v>
          </cell>
          <cell r="Y40">
            <v>1361129</v>
          </cell>
          <cell r="Z40" t="str">
            <v>Employee Revalue Acc</v>
          </cell>
          <cell r="AA40">
            <v>-1732819</v>
          </cell>
          <cell r="AB40">
            <v>1411110</v>
          </cell>
          <cell r="AC40" t="str">
            <v>Input Tax</v>
          </cell>
          <cell r="AD40">
            <v>3167408482</v>
          </cell>
          <cell r="AE40">
            <v>1361129</v>
          </cell>
          <cell r="AF40" t="str">
            <v>Employee Revalue Acc</v>
          </cell>
          <cell r="AG40">
            <v>35722</v>
          </cell>
          <cell r="AH40">
            <v>1361129</v>
          </cell>
          <cell r="AI40" t="str">
            <v>Employee Revalue Acc</v>
          </cell>
          <cell r="AJ40">
            <v>14154</v>
          </cell>
          <cell r="AK40">
            <v>1361120</v>
          </cell>
          <cell r="AL40" t="str">
            <v>Employee</v>
          </cell>
          <cell r="AM40">
            <v>185136269</v>
          </cell>
        </row>
        <row r="41">
          <cell r="A41">
            <v>2111110</v>
          </cell>
          <cell r="B41" t="str">
            <v>Land &amp; Bldg (Owned)</v>
          </cell>
          <cell r="C41">
            <v>544215230</v>
          </cell>
          <cell r="G41">
            <v>2111120</v>
          </cell>
          <cell r="H41" t="str">
            <v>Cons In Prog (Owned)</v>
          </cell>
          <cell r="I41">
            <v>0</v>
          </cell>
          <cell r="J41">
            <v>2111150</v>
          </cell>
          <cell r="K41" t="str">
            <v>Motor Vehs (Owned)</v>
          </cell>
          <cell r="L41">
            <v>0</v>
          </cell>
          <cell r="M41">
            <v>1411120</v>
          </cell>
          <cell r="N41" t="str">
            <v>Output Tax</v>
          </cell>
          <cell r="O41">
            <v>-1412312615</v>
          </cell>
          <cell r="P41">
            <v>1411130</v>
          </cell>
          <cell r="Q41" t="str">
            <v>VAT Cal Inp &amp; Out</v>
          </cell>
          <cell r="R41">
            <v>0</v>
          </cell>
          <cell r="S41">
            <v>2111170</v>
          </cell>
          <cell r="T41" t="str">
            <v>Off Eqp&amp;Furn (Owned)</v>
          </cell>
          <cell r="U41">
            <v>9760000</v>
          </cell>
          <cell r="V41">
            <v>1411110</v>
          </cell>
          <cell r="W41" t="str">
            <v>Input Tax</v>
          </cell>
          <cell r="X41">
            <v>3004485311</v>
          </cell>
          <cell r="Y41">
            <v>1411110</v>
          </cell>
          <cell r="Z41" t="str">
            <v>Input Tax</v>
          </cell>
          <cell r="AA41">
            <v>1485105548</v>
          </cell>
          <cell r="AB41">
            <v>1411120</v>
          </cell>
          <cell r="AC41" t="str">
            <v>Output Tax</v>
          </cell>
          <cell r="AD41">
            <v>-2629316031</v>
          </cell>
          <cell r="AE41">
            <v>1411110</v>
          </cell>
          <cell r="AF41" t="str">
            <v>Input Tax</v>
          </cell>
          <cell r="AG41">
            <v>1505734130</v>
          </cell>
          <cell r="AH41">
            <v>1411110</v>
          </cell>
          <cell r="AI41" t="str">
            <v>Input Tax</v>
          </cell>
          <cell r="AJ41">
            <v>2209641508</v>
          </cell>
          <cell r="AK41">
            <v>1361129</v>
          </cell>
          <cell r="AL41" t="str">
            <v>Employee Revalue Acc</v>
          </cell>
          <cell r="AM41">
            <v>-24264</v>
          </cell>
        </row>
        <row r="42">
          <cell r="A42">
            <v>2111120</v>
          </cell>
          <cell r="B42" t="str">
            <v>Cons In Prog (Owned)</v>
          </cell>
          <cell r="C42">
            <v>146000000</v>
          </cell>
          <cell r="G42">
            <v>2111130</v>
          </cell>
          <cell r="H42" t="str">
            <v>Plant &amp; Eqp (Owned)</v>
          </cell>
          <cell r="I42">
            <v>644036400</v>
          </cell>
          <cell r="J42">
            <v>2111170</v>
          </cell>
          <cell r="K42" t="str">
            <v>Off Eqp&amp;Furn (Owned)</v>
          </cell>
          <cell r="L42">
            <v>12850000</v>
          </cell>
          <cell r="M42">
            <v>1411130</v>
          </cell>
          <cell r="N42" t="str">
            <v>VAT Cal Inp &amp; Out</v>
          </cell>
          <cell r="O42">
            <v>284944</v>
          </cell>
          <cell r="P42">
            <v>2111130</v>
          </cell>
          <cell r="Q42" t="str">
            <v>Plant &amp; Eqp (Owned)</v>
          </cell>
          <cell r="R42">
            <v>932787014</v>
          </cell>
          <cell r="S42">
            <v>2111190</v>
          </cell>
          <cell r="T42" t="str">
            <v>Low Value Asset</v>
          </cell>
          <cell r="U42">
            <v>-1806790</v>
          </cell>
          <cell r="V42">
            <v>1411120</v>
          </cell>
          <cell r="W42" t="str">
            <v>Output Tax</v>
          </cell>
          <cell r="X42">
            <v>-2126720757</v>
          </cell>
          <cell r="Y42">
            <v>1411120</v>
          </cell>
          <cell r="Z42" t="str">
            <v>Output Tax</v>
          </cell>
          <cell r="AA42">
            <v>-2241094337</v>
          </cell>
          <cell r="AB42">
            <v>2111110</v>
          </cell>
          <cell r="AC42" t="str">
            <v>Land &amp; Bldg (Owned)</v>
          </cell>
          <cell r="AD42">
            <v>0</v>
          </cell>
          <cell r="AE42">
            <v>1411120</v>
          </cell>
          <cell r="AF42" t="str">
            <v>Output Tax</v>
          </cell>
          <cell r="AG42">
            <v>-2044863329</v>
          </cell>
          <cell r="AH42">
            <v>1411120</v>
          </cell>
          <cell r="AI42" t="str">
            <v>Output Tax</v>
          </cell>
          <cell r="AJ42">
            <v>-1731651615</v>
          </cell>
          <cell r="AK42">
            <v>1411110</v>
          </cell>
          <cell r="AL42" t="str">
            <v>Input Tax</v>
          </cell>
          <cell r="AM42">
            <v>6865497375</v>
          </cell>
        </row>
        <row r="43">
          <cell r="A43">
            <v>2111130</v>
          </cell>
          <cell r="B43" t="str">
            <v>Plant &amp; Eqp (Owned)</v>
          </cell>
          <cell r="C43">
            <v>2166594625</v>
          </cell>
          <cell r="G43">
            <v>2111150</v>
          </cell>
          <cell r="H43" t="str">
            <v>Motor Vehs (Owned)</v>
          </cell>
          <cell r="I43">
            <v>24050000</v>
          </cell>
          <cell r="J43">
            <v>2211110</v>
          </cell>
          <cell r="K43" t="str">
            <v>Acc Depn-L&amp;Bldg(Own)</v>
          </cell>
          <cell r="L43">
            <v>-9070254</v>
          </cell>
          <cell r="M43">
            <v>2111130</v>
          </cell>
          <cell r="N43" t="str">
            <v>Plant &amp; Eqp (Owned)</v>
          </cell>
          <cell r="O43">
            <v>108573875</v>
          </cell>
          <cell r="P43">
            <v>2111150</v>
          </cell>
          <cell r="Q43" t="str">
            <v>Motor Vehs (Owned)</v>
          </cell>
          <cell r="R43">
            <v>0</v>
          </cell>
          <cell r="S43">
            <v>2121140</v>
          </cell>
          <cell r="T43" t="str">
            <v>Rental Fleet  Leased</v>
          </cell>
          <cell r="U43">
            <v>35760863600</v>
          </cell>
          <cell r="V43">
            <v>2111110</v>
          </cell>
          <cell r="W43" t="str">
            <v>Land &amp; Bldg (Owned)</v>
          </cell>
          <cell r="X43">
            <v>23600000</v>
          </cell>
          <cell r="Y43">
            <v>1411130</v>
          </cell>
          <cell r="Z43" t="str">
            <v>VAT Cal Inp &amp; Out</v>
          </cell>
          <cell r="AA43">
            <v>0</v>
          </cell>
          <cell r="AB43">
            <v>2111120</v>
          </cell>
          <cell r="AC43" t="str">
            <v>Cons In Prog (Owned)</v>
          </cell>
          <cell r="AD43">
            <v>19375000</v>
          </cell>
          <cell r="AE43">
            <v>2111110</v>
          </cell>
          <cell r="AF43" t="str">
            <v>Land &amp; Bldg (Owned)</v>
          </cell>
          <cell r="AG43">
            <v>1975000</v>
          </cell>
          <cell r="AH43">
            <v>2111120</v>
          </cell>
          <cell r="AI43" t="str">
            <v>Cons In Prog (Owned)</v>
          </cell>
          <cell r="AJ43">
            <v>92083500</v>
          </cell>
          <cell r="AK43">
            <v>1411120</v>
          </cell>
          <cell r="AL43" t="str">
            <v>Output Tax</v>
          </cell>
          <cell r="AM43">
            <v>-1291315110</v>
          </cell>
        </row>
        <row r="44">
          <cell r="A44">
            <v>2111140</v>
          </cell>
          <cell r="B44" t="str">
            <v>Rental Fleet (Owned)</v>
          </cell>
          <cell r="C44">
            <v>25094018052</v>
          </cell>
          <cell r="G44">
            <v>2111170</v>
          </cell>
          <cell r="H44" t="str">
            <v>Off Eqp&amp;Furn (Owned)</v>
          </cell>
          <cell r="I44">
            <v>12850000</v>
          </cell>
          <cell r="J44">
            <v>2211120</v>
          </cell>
          <cell r="K44" t="str">
            <v>Acc Depn-P&amp;Eqp (Own)</v>
          </cell>
          <cell r="L44">
            <v>-55653357</v>
          </cell>
          <cell r="M44">
            <v>2111150</v>
          </cell>
          <cell r="N44" t="str">
            <v>Motor Vehs (Owned)</v>
          </cell>
          <cell r="O44">
            <v>0</v>
          </cell>
          <cell r="P44">
            <v>2111170</v>
          </cell>
          <cell r="Q44" t="str">
            <v>Off Eqp&amp;Furn (Owned)</v>
          </cell>
          <cell r="R44">
            <v>23240000</v>
          </cell>
          <cell r="S44">
            <v>2211110</v>
          </cell>
          <cell r="T44" t="str">
            <v>Acc Depn-L&amp;Bldg(Own)</v>
          </cell>
          <cell r="U44">
            <v>-9070253</v>
          </cell>
          <cell r="V44">
            <v>2111130</v>
          </cell>
          <cell r="W44" t="str">
            <v>Plant &amp; Eqp (Owned)</v>
          </cell>
          <cell r="X44">
            <v>144511490</v>
          </cell>
          <cell r="Y44">
            <v>2111120</v>
          </cell>
          <cell r="Z44" t="str">
            <v>Cons In Prog (Owned)</v>
          </cell>
          <cell r="AA44">
            <v>0</v>
          </cell>
          <cell r="AB44">
            <v>2111130</v>
          </cell>
          <cell r="AC44" t="str">
            <v>Plant &amp; Eqp (Owned)</v>
          </cell>
          <cell r="AD44">
            <v>129938000</v>
          </cell>
          <cell r="AE44">
            <v>2111120</v>
          </cell>
          <cell r="AF44" t="str">
            <v>Cons In Prog (Owned)</v>
          </cell>
          <cell r="AG44">
            <v>984476403</v>
          </cell>
          <cell r="AH44">
            <v>2111130</v>
          </cell>
          <cell r="AI44" t="str">
            <v>Plant &amp; Eqp (Owned)</v>
          </cell>
          <cell r="AJ44">
            <v>399749923</v>
          </cell>
          <cell r="AK44">
            <v>2111110</v>
          </cell>
          <cell r="AL44" t="str">
            <v>Land &amp; Bldg (Owned)</v>
          </cell>
          <cell r="AM44">
            <v>21500000</v>
          </cell>
        </row>
        <row r="45">
          <cell r="A45">
            <v>2111150</v>
          </cell>
          <cell r="B45" t="str">
            <v>Motor Vehs (Owned)</v>
          </cell>
          <cell r="C45">
            <v>2893062460</v>
          </cell>
          <cell r="G45">
            <v>2111190</v>
          </cell>
          <cell r="H45" t="str">
            <v>Low Value Asset</v>
          </cell>
          <cell r="I45">
            <v>-19500000</v>
          </cell>
          <cell r="J45">
            <v>2211130</v>
          </cell>
          <cell r="K45" t="str">
            <v>Acc Dep-RntFlt (Own)</v>
          </cell>
          <cell r="L45">
            <v>-418233618</v>
          </cell>
          <cell r="M45">
            <v>2211110</v>
          </cell>
          <cell r="N45" t="str">
            <v>Acc Depn-L&amp;Bldg(Own)</v>
          </cell>
          <cell r="O45">
            <v>-9070253</v>
          </cell>
          <cell r="P45">
            <v>2111190</v>
          </cell>
          <cell r="Q45" t="str">
            <v>Low Value Asset</v>
          </cell>
          <cell r="R45">
            <v>12470000</v>
          </cell>
          <cell r="S45">
            <v>2211120</v>
          </cell>
          <cell r="T45" t="str">
            <v>Acc Depn-P&amp;Eqp (Own)</v>
          </cell>
          <cell r="U45">
            <v>-79635251</v>
          </cell>
          <cell r="V45">
            <v>2111140</v>
          </cell>
          <cell r="W45" t="str">
            <v>Rental Fleet (Owned)</v>
          </cell>
          <cell r="X45">
            <v>0</v>
          </cell>
          <cell r="Y45">
            <v>2111130</v>
          </cell>
          <cell r="Z45" t="str">
            <v>Plant &amp; Eqp (Owned)</v>
          </cell>
          <cell r="AA45">
            <v>315548075</v>
          </cell>
          <cell r="AB45">
            <v>2111150</v>
          </cell>
          <cell r="AC45" t="str">
            <v>Motor Vehs (Owned)</v>
          </cell>
          <cell r="AD45">
            <v>8390000</v>
          </cell>
          <cell r="AE45">
            <v>2111130</v>
          </cell>
          <cell r="AF45" t="str">
            <v>Plant &amp; Eqp (Owned)</v>
          </cell>
          <cell r="AG45">
            <v>433998095</v>
          </cell>
          <cell r="AH45">
            <v>2111150</v>
          </cell>
          <cell r="AI45" t="str">
            <v>Motor Vehs (Owned)</v>
          </cell>
          <cell r="AJ45">
            <v>0</v>
          </cell>
          <cell r="AK45">
            <v>2111120</v>
          </cell>
          <cell r="AL45" t="str">
            <v>Cons In Prog (Owned)</v>
          </cell>
          <cell r="AM45">
            <v>-688573595</v>
          </cell>
        </row>
        <row r="46">
          <cell r="A46">
            <v>2111170</v>
          </cell>
          <cell r="B46" t="str">
            <v>Off Eqp&amp;Furn (Owned)</v>
          </cell>
          <cell r="C46">
            <v>209268970</v>
          </cell>
          <cell r="G46">
            <v>2211110</v>
          </cell>
          <cell r="H46" t="str">
            <v>Acc Depn-L&amp;Bldg(Own)</v>
          </cell>
          <cell r="I46">
            <v>-9070254</v>
          </cell>
          <cell r="J46">
            <v>2211140</v>
          </cell>
          <cell r="K46" t="str">
            <v>Acc Dep-Vehicle(Own)</v>
          </cell>
          <cell r="L46">
            <v>-50219830</v>
          </cell>
          <cell r="M46">
            <v>2211120</v>
          </cell>
          <cell r="N46" t="str">
            <v>Acc Depn-P&amp;Eqp (Own)</v>
          </cell>
          <cell r="O46">
            <v>-60768511</v>
          </cell>
          <cell r="P46">
            <v>2211110</v>
          </cell>
          <cell r="Q46" t="str">
            <v>Acc Depn-L&amp;Bldg(Own)</v>
          </cell>
          <cell r="R46">
            <v>-9070255</v>
          </cell>
          <cell r="S46">
            <v>2211130</v>
          </cell>
          <cell r="T46" t="str">
            <v>Acc Dep-RntFlt (Own)</v>
          </cell>
          <cell r="U46">
            <v>-418233666</v>
          </cell>
          <cell r="V46">
            <v>2111150</v>
          </cell>
          <cell r="W46" t="str">
            <v>Motor Vehs (Owned)</v>
          </cell>
          <cell r="X46">
            <v>2100000</v>
          </cell>
          <cell r="Y46">
            <v>2111150</v>
          </cell>
          <cell r="Z46" t="str">
            <v>Motor Vehs (Owned)</v>
          </cell>
          <cell r="AA46">
            <v>51166508</v>
          </cell>
          <cell r="AB46">
            <v>2111170</v>
          </cell>
          <cell r="AC46" t="str">
            <v>Off Eqp&amp;Furn (Owned)</v>
          </cell>
          <cell r="AD46">
            <v>-51875</v>
          </cell>
          <cell r="AE46">
            <v>2111190</v>
          </cell>
          <cell r="AF46" t="str">
            <v>Low Value Asset</v>
          </cell>
          <cell r="AG46">
            <v>21057788</v>
          </cell>
          <cell r="AH46">
            <v>2111170</v>
          </cell>
          <cell r="AI46" t="str">
            <v>Off Eqp&amp;Furn (Owned)</v>
          </cell>
          <cell r="AJ46">
            <v>0</v>
          </cell>
          <cell r="AK46">
            <v>2111130</v>
          </cell>
          <cell r="AL46" t="str">
            <v>Plant &amp; Eqp (Owned)</v>
          </cell>
          <cell r="AM46">
            <v>1073556604</v>
          </cell>
        </row>
        <row r="47">
          <cell r="A47">
            <v>2211110</v>
          </cell>
          <cell r="B47" t="str">
            <v>Acc Depn-L&amp;Bldg(Own)</v>
          </cell>
          <cell r="C47">
            <v>-63890421</v>
          </cell>
          <cell r="G47">
            <v>2211120</v>
          </cell>
          <cell r="H47" t="str">
            <v>Acc Depn-P&amp;Eqp (Own)</v>
          </cell>
          <cell r="I47">
            <v>-42798325</v>
          </cell>
          <cell r="J47">
            <v>2211160</v>
          </cell>
          <cell r="K47" t="str">
            <v>Acc Dep-Eqp&amp;Frn(Own)</v>
          </cell>
          <cell r="L47">
            <v>-4519866</v>
          </cell>
          <cell r="M47">
            <v>2211130</v>
          </cell>
          <cell r="N47" t="str">
            <v>Acc Dep-RntFlt (Own)</v>
          </cell>
          <cell r="O47">
            <v>-418233631</v>
          </cell>
          <cell r="P47">
            <v>2211120</v>
          </cell>
          <cell r="Q47" t="str">
            <v>Acc Depn-P&amp;Eqp (Own)</v>
          </cell>
          <cell r="R47">
            <v>-67756409</v>
          </cell>
          <cell r="S47">
            <v>2211140</v>
          </cell>
          <cell r="T47" t="str">
            <v>Acc Dep-Vehicle(Own)</v>
          </cell>
          <cell r="U47">
            <v>-50219836</v>
          </cell>
          <cell r="V47">
            <v>2111170</v>
          </cell>
          <cell r="W47" t="str">
            <v>Off Eqp&amp;Furn (Owned)</v>
          </cell>
          <cell r="X47">
            <v>59993125</v>
          </cell>
          <cell r="Y47">
            <v>2111170</v>
          </cell>
          <cell r="Z47" t="str">
            <v>Off Eqp&amp;Furn (Owned)</v>
          </cell>
          <cell r="AA47">
            <v>30935750</v>
          </cell>
          <cell r="AB47">
            <v>2111190</v>
          </cell>
          <cell r="AC47" t="str">
            <v>Low Value Asset</v>
          </cell>
          <cell r="AD47">
            <v>-42834522</v>
          </cell>
          <cell r="AE47">
            <v>2211110</v>
          </cell>
          <cell r="AF47" t="str">
            <v>Acc Depn-L&amp;Bldg(Own)</v>
          </cell>
          <cell r="AG47">
            <v>-9168586</v>
          </cell>
          <cell r="AH47">
            <v>2111190</v>
          </cell>
          <cell r="AI47" t="str">
            <v>Low Value Asset</v>
          </cell>
          <cell r="AJ47">
            <v>-21057788</v>
          </cell>
          <cell r="AK47">
            <v>2111150</v>
          </cell>
          <cell r="AL47" t="str">
            <v>Motor Vehs (Owned)</v>
          </cell>
          <cell r="AM47">
            <v>1631186831</v>
          </cell>
        </row>
        <row r="48">
          <cell r="A48">
            <v>2211120</v>
          </cell>
          <cell r="B48" t="str">
            <v>Acc Depn-P&amp;Eqp (Own)</v>
          </cell>
          <cell r="C48">
            <v>-395530617</v>
          </cell>
          <cell r="G48">
            <v>2211130</v>
          </cell>
          <cell r="H48" t="str">
            <v>Acc Dep-RntFlt (Own)</v>
          </cell>
          <cell r="I48">
            <v>-418233664</v>
          </cell>
          <cell r="J48">
            <v>3211120</v>
          </cell>
          <cell r="K48" t="str">
            <v>Tax 23</v>
          </cell>
          <cell r="L48">
            <v>174350744</v>
          </cell>
          <cell r="M48">
            <v>2211140</v>
          </cell>
          <cell r="N48" t="str">
            <v>Acc Dep-Vehicle(Own)</v>
          </cell>
          <cell r="O48">
            <v>-50219832</v>
          </cell>
          <cell r="P48">
            <v>2211130</v>
          </cell>
          <cell r="Q48" t="str">
            <v>Acc Dep-RntFlt (Own)</v>
          </cell>
          <cell r="R48">
            <v>-418233622</v>
          </cell>
          <cell r="S48">
            <v>2211160</v>
          </cell>
          <cell r="T48" t="str">
            <v>Acc Dep-Eqp&amp;Frn(Own)</v>
          </cell>
          <cell r="U48">
            <v>-5069865</v>
          </cell>
          <cell r="V48">
            <v>2111190</v>
          </cell>
          <cell r="W48" t="str">
            <v>Low Value Asset</v>
          </cell>
          <cell r="X48">
            <v>-3513210</v>
          </cell>
          <cell r="Y48">
            <v>2111190</v>
          </cell>
          <cell r="Z48" t="str">
            <v>Low Value Asset</v>
          </cell>
          <cell r="AA48">
            <v>35684522</v>
          </cell>
          <cell r="AB48">
            <v>2121140</v>
          </cell>
          <cell r="AC48" t="str">
            <v>Rental Fleet  Leased</v>
          </cell>
          <cell r="AD48">
            <v>9650300000</v>
          </cell>
          <cell r="AE48">
            <v>2211120</v>
          </cell>
          <cell r="AF48" t="str">
            <v>Acc Depn-P&amp;Eqp (Own)</v>
          </cell>
          <cell r="AG48">
            <v>-97452059</v>
          </cell>
          <cell r="AH48">
            <v>2211110</v>
          </cell>
          <cell r="AI48" t="str">
            <v>Acc Depn-L&amp;Bldg(Own)</v>
          </cell>
          <cell r="AJ48">
            <v>-9211523</v>
          </cell>
          <cell r="AK48">
            <v>2111170</v>
          </cell>
          <cell r="AL48" t="str">
            <v>Off Eqp&amp;Furn (Owned)</v>
          </cell>
          <cell r="AM48">
            <v>15830000</v>
          </cell>
        </row>
        <row r="49">
          <cell r="A49">
            <v>2211130</v>
          </cell>
          <cell r="B49" t="str">
            <v>Acc Dep-RntFlt (Own)</v>
          </cell>
          <cell r="C49">
            <v>-8840110982</v>
          </cell>
          <cell r="G49">
            <v>2211140</v>
          </cell>
          <cell r="H49" t="str">
            <v>Acc Dep-Vehicle(Own)</v>
          </cell>
          <cell r="I49">
            <v>-50219838</v>
          </cell>
          <cell r="J49">
            <v>3211140</v>
          </cell>
          <cell r="K49" t="str">
            <v>Tax 25</v>
          </cell>
          <cell r="L49">
            <v>504250500</v>
          </cell>
          <cell r="M49">
            <v>2211160</v>
          </cell>
          <cell r="N49" t="str">
            <v>Acc Dep-Eqp&amp;Frn(Own)</v>
          </cell>
          <cell r="O49">
            <v>-4519864</v>
          </cell>
          <cell r="P49">
            <v>2211140</v>
          </cell>
          <cell r="Q49" t="str">
            <v>Acc Dep-Vehicle(Own)</v>
          </cell>
          <cell r="R49">
            <v>-50219837</v>
          </cell>
          <cell r="S49">
            <v>2221130</v>
          </cell>
          <cell r="T49" t="str">
            <v>Acc Dep-RFlt(Lease)</v>
          </cell>
          <cell r="U49">
            <v>-1039662074</v>
          </cell>
          <cell r="V49">
            <v>2121140</v>
          </cell>
          <cell r="W49" t="str">
            <v>Rental Fleet  Leased</v>
          </cell>
          <cell r="X49">
            <v>9616257750</v>
          </cell>
          <cell r="Y49">
            <v>2211110</v>
          </cell>
          <cell r="Z49" t="str">
            <v>Acc Depn-L&amp;Bldg(Own)</v>
          </cell>
          <cell r="AA49">
            <v>-9168587</v>
          </cell>
          <cell r="AB49">
            <v>2211110</v>
          </cell>
          <cell r="AC49" t="str">
            <v>Acc Depn-L&amp;Bldg(Own)</v>
          </cell>
          <cell r="AD49">
            <v>-9168588</v>
          </cell>
          <cell r="AE49">
            <v>2211130</v>
          </cell>
          <cell r="AF49" t="str">
            <v>Acc Dep-RntFlt (Own)</v>
          </cell>
          <cell r="AG49">
            <v>-418233657</v>
          </cell>
          <cell r="AH49">
            <v>2211120</v>
          </cell>
          <cell r="AI49" t="str">
            <v>Acc Depn-P&amp;Eqp (Own)</v>
          </cell>
          <cell r="AJ49">
            <v>-106538915</v>
          </cell>
          <cell r="AK49">
            <v>2111190</v>
          </cell>
          <cell r="AL49" t="str">
            <v>Low Value Asset</v>
          </cell>
          <cell r="AM49">
            <v>13792868</v>
          </cell>
        </row>
        <row r="50">
          <cell r="A50">
            <v>2211140</v>
          </cell>
          <cell r="B50" t="str">
            <v>Acc Dep-Vehicle(Own)</v>
          </cell>
          <cell r="C50">
            <v>-885045740</v>
          </cell>
          <cell r="G50">
            <v>2211160</v>
          </cell>
          <cell r="H50" t="str">
            <v>Acc Dep-Eqp&amp;Frn(Own)</v>
          </cell>
          <cell r="I50">
            <v>-4091535</v>
          </cell>
          <cell r="J50">
            <v>3211170</v>
          </cell>
          <cell r="K50" t="str">
            <v>Withholding Tax</v>
          </cell>
          <cell r="L50">
            <v>-340965970</v>
          </cell>
          <cell r="M50">
            <v>3211120</v>
          </cell>
          <cell r="N50" t="str">
            <v>Tax 23</v>
          </cell>
          <cell r="O50">
            <v>1091610871</v>
          </cell>
          <cell r="P50">
            <v>2211160</v>
          </cell>
          <cell r="Q50" t="str">
            <v>Acc Dep-Eqp&amp;Frn(Own)</v>
          </cell>
          <cell r="R50">
            <v>-4519869</v>
          </cell>
          <cell r="S50">
            <v>3211120</v>
          </cell>
          <cell r="T50" t="str">
            <v>Tax 23</v>
          </cell>
          <cell r="U50">
            <v>1128250190</v>
          </cell>
          <cell r="V50">
            <v>2211110</v>
          </cell>
          <cell r="W50" t="str">
            <v>Acc Depn-L&amp;Bldg(Own)</v>
          </cell>
          <cell r="X50">
            <v>-9070254</v>
          </cell>
          <cell r="Y50">
            <v>2211120</v>
          </cell>
          <cell r="Z50" t="str">
            <v>Acc Depn-P&amp;Eqp (Own)</v>
          </cell>
          <cell r="AA50">
            <v>-85218359</v>
          </cell>
          <cell r="AB50">
            <v>2211120</v>
          </cell>
          <cell r="AC50" t="str">
            <v>Acc Depn-P&amp;Eqp (Own)</v>
          </cell>
          <cell r="AD50">
            <v>-92654845</v>
          </cell>
          <cell r="AE50">
            <v>2211140</v>
          </cell>
          <cell r="AF50" t="str">
            <v>Acc Dep-Vehicle(Own)</v>
          </cell>
          <cell r="AG50">
            <v>-51269656</v>
          </cell>
          <cell r="AH50">
            <v>2211130</v>
          </cell>
          <cell r="AI50" t="str">
            <v>Acc Dep-RntFlt (Own)</v>
          </cell>
          <cell r="AJ50">
            <v>-418233625</v>
          </cell>
          <cell r="AK50">
            <v>2211110</v>
          </cell>
          <cell r="AL50" t="str">
            <v>Acc Depn-L&amp;Bldg(Own)</v>
          </cell>
          <cell r="AM50">
            <v>-9211522</v>
          </cell>
        </row>
        <row r="51">
          <cell r="A51">
            <v>2211160</v>
          </cell>
          <cell r="B51" t="str">
            <v>Acc Dep-Eqp&amp;Frn(Own)</v>
          </cell>
          <cell r="C51">
            <v>-61486196</v>
          </cell>
          <cell r="G51">
            <v>3211120</v>
          </cell>
          <cell r="H51" t="str">
            <v>Tax 23</v>
          </cell>
          <cell r="I51">
            <v>637230000</v>
          </cell>
          <cell r="J51">
            <v>4161110</v>
          </cell>
          <cell r="K51" t="str">
            <v>Deviden Payable</v>
          </cell>
          <cell r="L51">
            <v>3000000000</v>
          </cell>
          <cell r="M51">
            <v>3211140</v>
          </cell>
          <cell r="N51" t="str">
            <v>Tax 25</v>
          </cell>
          <cell r="O51">
            <v>77686030</v>
          </cell>
          <cell r="P51">
            <v>2511990</v>
          </cell>
          <cell r="Q51" t="str">
            <v>Investment Others</v>
          </cell>
          <cell r="R51">
            <v>40000000</v>
          </cell>
          <cell r="S51">
            <v>3211140</v>
          </cell>
          <cell r="T51" t="str">
            <v>Tax 25</v>
          </cell>
          <cell r="U51">
            <v>72806630</v>
          </cell>
          <cell r="V51">
            <v>2211120</v>
          </cell>
          <cell r="W51" t="str">
            <v>Acc Depn-P&amp;Eqp (Own)</v>
          </cell>
          <cell r="X51">
            <v>-84239385</v>
          </cell>
          <cell r="Y51">
            <v>2211130</v>
          </cell>
          <cell r="Z51" t="str">
            <v>Acc Dep-RntFlt (Own)</v>
          </cell>
          <cell r="AA51">
            <v>-418233622</v>
          </cell>
          <cell r="AB51">
            <v>2211130</v>
          </cell>
          <cell r="AC51" t="str">
            <v>Acc Dep-RntFlt (Own)</v>
          </cell>
          <cell r="AD51">
            <v>-418233631</v>
          </cell>
          <cell r="AE51">
            <v>2211160</v>
          </cell>
          <cell r="AF51" t="str">
            <v>Acc Dep-Eqp&amp;Frn(Own)</v>
          </cell>
          <cell r="AG51">
            <v>-6584483</v>
          </cell>
          <cell r="AH51">
            <v>2211140</v>
          </cell>
          <cell r="AI51" t="str">
            <v>Acc Dep-Vehicle(Own)</v>
          </cell>
          <cell r="AJ51">
            <v>-51269668</v>
          </cell>
          <cell r="AK51">
            <v>2211120</v>
          </cell>
          <cell r="AL51" t="str">
            <v>Acc Depn-P&amp;Eqp (Own)</v>
          </cell>
          <cell r="AM51">
            <v>-120491886</v>
          </cell>
        </row>
        <row r="52">
          <cell r="A52">
            <v>2511990</v>
          </cell>
          <cell r="B52" t="str">
            <v>Investment Others</v>
          </cell>
          <cell r="C52">
            <v>40000000</v>
          </cell>
          <cell r="G52">
            <v>3211140</v>
          </cell>
          <cell r="H52" t="str">
            <v>Tax 25</v>
          </cell>
          <cell r="I52">
            <v>504573150</v>
          </cell>
          <cell r="J52">
            <v>5511110</v>
          </cell>
          <cell r="K52" t="str">
            <v>Bnk Dep Term Dep IDR</v>
          </cell>
          <cell r="L52">
            <v>0</v>
          </cell>
          <cell r="M52">
            <v>3211170</v>
          </cell>
          <cell r="N52" t="str">
            <v>Withholding Tax</v>
          </cell>
          <cell r="O52">
            <v>677125655</v>
          </cell>
          <cell r="P52">
            <v>3211120</v>
          </cell>
          <cell r="Q52" t="str">
            <v>Tax 23</v>
          </cell>
          <cell r="R52">
            <v>976794671</v>
          </cell>
          <cell r="S52">
            <v>3211170</v>
          </cell>
          <cell r="T52" t="str">
            <v>Withholding Tax</v>
          </cell>
          <cell r="U52">
            <v>-661182482</v>
          </cell>
          <cell r="V52">
            <v>2211130</v>
          </cell>
          <cell r="W52" t="str">
            <v>Acc Dep-RntFlt (Own)</v>
          </cell>
          <cell r="X52">
            <v>-418233617</v>
          </cell>
          <cell r="Y52">
            <v>2211140</v>
          </cell>
          <cell r="Z52" t="str">
            <v>Acc Dep-Vehicle(Own)</v>
          </cell>
          <cell r="AA52">
            <v>-51947057</v>
          </cell>
          <cell r="AB52">
            <v>2211140</v>
          </cell>
          <cell r="AC52" t="str">
            <v>Acc Dep-Vehicle(Own)</v>
          </cell>
          <cell r="AD52">
            <v>-51429334</v>
          </cell>
          <cell r="AE52">
            <v>2221130</v>
          </cell>
          <cell r="AF52" t="str">
            <v>Acc Dep-RFlt(Lease)</v>
          </cell>
          <cell r="AG52">
            <v>-917123690</v>
          </cell>
          <cell r="AH52">
            <v>2211160</v>
          </cell>
          <cell r="AI52" t="str">
            <v>Acc Dep-Eqp&amp;Frn(Own)</v>
          </cell>
          <cell r="AJ52">
            <v>-6584486</v>
          </cell>
          <cell r="AK52">
            <v>2211130</v>
          </cell>
          <cell r="AL52" t="str">
            <v>Acc Dep-RntFlt (Own)</v>
          </cell>
          <cell r="AM52">
            <v>-418233623</v>
          </cell>
        </row>
        <row r="53">
          <cell r="A53">
            <v>3211140</v>
          </cell>
          <cell r="B53" t="str">
            <v>Tax 25</v>
          </cell>
          <cell r="C53">
            <v>0</v>
          </cell>
          <cell r="G53">
            <v>3211170</v>
          </cell>
          <cell r="H53" t="str">
            <v>Withholding Tax</v>
          </cell>
          <cell r="I53">
            <v>-640765285</v>
          </cell>
          <cell r="J53">
            <v>5511120</v>
          </cell>
          <cell r="K53" t="str">
            <v>Bnk Dep Term Dep USD</v>
          </cell>
          <cell r="L53">
            <v>-8905000000</v>
          </cell>
          <cell r="M53">
            <v>3211200</v>
          </cell>
          <cell r="N53" t="str">
            <v>Tax Provision</v>
          </cell>
          <cell r="O53">
            <v>0</v>
          </cell>
          <cell r="P53">
            <v>3211140</v>
          </cell>
          <cell r="Q53" t="str">
            <v>Tax 25</v>
          </cell>
          <cell r="R53">
            <v>74760330</v>
          </cell>
          <cell r="S53">
            <v>3211200</v>
          </cell>
          <cell r="T53" t="str">
            <v>Tax Provision</v>
          </cell>
          <cell r="U53">
            <v>0</v>
          </cell>
          <cell r="V53">
            <v>2211140</v>
          </cell>
          <cell r="W53" t="str">
            <v>Acc Dep-Vehicle(Own)</v>
          </cell>
          <cell r="X53">
            <v>-50254828</v>
          </cell>
          <cell r="Y53">
            <v>2211160</v>
          </cell>
          <cell r="Z53" t="str">
            <v>Acc Dep-Eqp&amp;Frn(Own)</v>
          </cell>
          <cell r="AA53">
            <v>-6290528</v>
          </cell>
          <cell r="AB53">
            <v>2211160</v>
          </cell>
          <cell r="AC53" t="str">
            <v>Acc Dep-Eqp&amp;Frn(Own)</v>
          </cell>
          <cell r="AD53">
            <v>-6584480</v>
          </cell>
          <cell r="AE53">
            <v>3211120</v>
          </cell>
          <cell r="AF53" t="str">
            <v>Tax 23</v>
          </cell>
          <cell r="AG53">
            <v>1082295006</v>
          </cell>
          <cell r="AH53">
            <v>2221130</v>
          </cell>
          <cell r="AI53" t="str">
            <v>Acc Dep-RFlt(Lease)</v>
          </cell>
          <cell r="AJ53">
            <v>-917123689</v>
          </cell>
          <cell r="AK53">
            <v>2211140</v>
          </cell>
          <cell r="AL53" t="str">
            <v>Acc Dep-Vehicle(Own)</v>
          </cell>
          <cell r="AM53">
            <v>-58527068</v>
          </cell>
        </row>
        <row r="54">
          <cell r="A54">
            <v>3211160</v>
          </cell>
          <cell r="B54" t="str">
            <v>Tax 29</v>
          </cell>
          <cell r="C54">
            <v>0</v>
          </cell>
          <cell r="G54">
            <v>4161110</v>
          </cell>
          <cell r="H54" t="str">
            <v>Deviden Payable</v>
          </cell>
          <cell r="I54">
            <v>27000000000</v>
          </cell>
          <cell r="J54">
            <v>5612570</v>
          </cell>
          <cell r="K54" t="str">
            <v>Mandiri IDR-Posting</v>
          </cell>
          <cell r="L54">
            <v>-2519815864</v>
          </cell>
          <cell r="M54">
            <v>5511110</v>
          </cell>
          <cell r="N54" t="str">
            <v>Bnk Dep Term Dep IDR</v>
          </cell>
          <cell r="O54">
            <v>-614000000</v>
          </cell>
          <cell r="P54">
            <v>3211170</v>
          </cell>
          <cell r="Q54" t="str">
            <v>Withholding Tax</v>
          </cell>
          <cell r="R54">
            <v>-635858110</v>
          </cell>
          <cell r="S54">
            <v>5211160</v>
          </cell>
          <cell r="T54" t="str">
            <v>Intra Grp Loan TMT</v>
          </cell>
          <cell r="U54">
            <v>-20865296794</v>
          </cell>
          <cell r="V54">
            <v>2211160</v>
          </cell>
          <cell r="W54" t="str">
            <v>Acc Dep-Eqp&amp;Frn(Own)</v>
          </cell>
          <cell r="X54">
            <v>-5607916</v>
          </cell>
          <cell r="Y54">
            <v>2221130</v>
          </cell>
          <cell r="Z54" t="str">
            <v>Acc Dep-RFlt(Lease)</v>
          </cell>
          <cell r="AA54">
            <v>-756285356</v>
          </cell>
          <cell r="AB54">
            <v>2221130</v>
          </cell>
          <cell r="AC54" t="str">
            <v>Acc Dep-RFlt(Lease)</v>
          </cell>
          <cell r="AD54">
            <v>-917123689</v>
          </cell>
          <cell r="AE54">
            <v>3211140</v>
          </cell>
          <cell r="AF54" t="str">
            <v>Tax 25</v>
          </cell>
          <cell r="AG54">
            <v>80862030</v>
          </cell>
          <cell r="AH54">
            <v>3211120</v>
          </cell>
          <cell r="AI54" t="str">
            <v>Tax 23</v>
          </cell>
          <cell r="AJ54">
            <v>1081862287</v>
          </cell>
          <cell r="AK54">
            <v>2211160</v>
          </cell>
          <cell r="AL54" t="str">
            <v>Acc Dep-Eqp&amp;Frn(Own)</v>
          </cell>
          <cell r="AM54">
            <v>-6584481</v>
          </cell>
        </row>
        <row r="55">
          <cell r="A55">
            <v>3211170</v>
          </cell>
          <cell r="B55" t="str">
            <v>Withholding Tax</v>
          </cell>
          <cell r="C55">
            <v>-2368073440</v>
          </cell>
          <cell r="G55">
            <v>5511110</v>
          </cell>
          <cell r="H55" t="str">
            <v>Bnk Dep Term Dep IDR</v>
          </cell>
          <cell r="I55">
            <v>-142700000</v>
          </cell>
          <cell r="J55">
            <v>5612580</v>
          </cell>
          <cell r="K55" t="str">
            <v>Mandiri USD-Posting</v>
          </cell>
          <cell r="L55">
            <v>9558892560</v>
          </cell>
          <cell r="M55">
            <v>5511120</v>
          </cell>
          <cell r="N55" t="str">
            <v>Bnk Dep Term Dep USD</v>
          </cell>
          <cell r="O55">
            <v>0</v>
          </cell>
          <cell r="P55">
            <v>5211160</v>
          </cell>
          <cell r="Q55" t="str">
            <v>Intra Grp Loan TMT</v>
          </cell>
          <cell r="R55">
            <v>-20684703206</v>
          </cell>
          <cell r="S55">
            <v>5511110</v>
          </cell>
          <cell r="T55" t="str">
            <v>Bnk Dep Term Dep IDR</v>
          </cell>
          <cell r="U55">
            <v>-930000000</v>
          </cell>
          <cell r="V55">
            <v>2221130</v>
          </cell>
          <cell r="W55" t="str">
            <v>Acc Dep-RFlt(Lease)</v>
          </cell>
          <cell r="X55">
            <v>-756285355</v>
          </cell>
          <cell r="Y55">
            <v>3211110</v>
          </cell>
          <cell r="Z55" t="str">
            <v>Tax 22</v>
          </cell>
          <cell r="AA55">
            <v>0</v>
          </cell>
          <cell r="AB55">
            <v>3211110</v>
          </cell>
          <cell r="AC55" t="str">
            <v>Tax 22</v>
          </cell>
          <cell r="AD55">
            <v>0</v>
          </cell>
          <cell r="AE55">
            <v>3211170</v>
          </cell>
          <cell r="AF55" t="str">
            <v>Withholding Tax</v>
          </cell>
          <cell r="AG55">
            <v>223936020</v>
          </cell>
          <cell r="AH55">
            <v>3211140</v>
          </cell>
          <cell r="AI55" t="str">
            <v>Tax 25</v>
          </cell>
          <cell r="AJ55">
            <v>77747730</v>
          </cell>
          <cell r="AK55">
            <v>2221130</v>
          </cell>
          <cell r="AL55" t="str">
            <v>Acc Dep-RFlt(Lease)</v>
          </cell>
          <cell r="AM55">
            <v>-917123688</v>
          </cell>
        </row>
        <row r="56">
          <cell r="A56">
            <v>3211180</v>
          </cell>
          <cell r="B56" t="str">
            <v>Tax Over Payment</v>
          </cell>
          <cell r="C56">
            <v>5533874280</v>
          </cell>
          <cell r="G56">
            <v>5511120</v>
          </cell>
          <cell r="H56" t="str">
            <v>Bnk Dep Term Dep USD</v>
          </cell>
          <cell r="I56">
            <v>1905900000</v>
          </cell>
          <cell r="J56">
            <v>5612590</v>
          </cell>
          <cell r="K56" t="str">
            <v>SCB IDR Posting Acct</v>
          </cell>
          <cell r="L56">
            <v>-6000</v>
          </cell>
          <cell r="M56">
            <v>5612570</v>
          </cell>
          <cell r="N56" t="str">
            <v>Mandiri IDR-Posting</v>
          </cell>
          <cell r="O56">
            <v>2036982230</v>
          </cell>
          <cell r="P56">
            <v>5511110</v>
          </cell>
          <cell r="Q56" t="str">
            <v>Bnk Dep Term Dep IDR</v>
          </cell>
          <cell r="R56">
            <v>-60000000</v>
          </cell>
          <cell r="S56">
            <v>5511120</v>
          </cell>
          <cell r="T56" t="str">
            <v>Bnk Dep Term Dep USD</v>
          </cell>
          <cell r="U56">
            <v>0</v>
          </cell>
          <cell r="V56">
            <v>3211120</v>
          </cell>
          <cell r="W56" t="str">
            <v>Tax 23</v>
          </cell>
          <cell r="X56">
            <v>626827657</v>
          </cell>
          <cell r="Y56">
            <v>3211120</v>
          </cell>
          <cell r="Z56" t="str">
            <v>Tax 23</v>
          </cell>
          <cell r="AA56">
            <v>1624722412</v>
          </cell>
          <cell r="AB56">
            <v>3211120</v>
          </cell>
          <cell r="AC56" t="str">
            <v>Tax 23</v>
          </cell>
          <cell r="AD56">
            <v>1163536404</v>
          </cell>
          <cell r="AE56">
            <v>3211200</v>
          </cell>
          <cell r="AF56" t="str">
            <v>Tax Provision</v>
          </cell>
          <cell r="AG56">
            <v>0</v>
          </cell>
          <cell r="AH56">
            <v>3211170</v>
          </cell>
          <cell r="AI56" t="str">
            <v>Withholding Tax</v>
          </cell>
          <cell r="AJ56">
            <v>-530717715</v>
          </cell>
          <cell r="AK56">
            <v>3211120</v>
          </cell>
          <cell r="AL56" t="str">
            <v>Tax 23</v>
          </cell>
          <cell r="AM56">
            <v>2988520084</v>
          </cell>
        </row>
        <row r="57">
          <cell r="A57">
            <v>3211190</v>
          </cell>
          <cell r="B57" t="str">
            <v>Tax Payable</v>
          </cell>
          <cell r="C57">
            <v>-502725000</v>
          </cell>
          <cell r="G57">
            <v>5612570</v>
          </cell>
          <cell r="H57" t="str">
            <v>Mandiri IDR-Posting</v>
          </cell>
          <cell r="I57">
            <v>-3158994240</v>
          </cell>
          <cell r="J57">
            <v>5612600</v>
          </cell>
          <cell r="K57" t="str">
            <v>SCB USD Posting Acct</v>
          </cell>
          <cell r="L57">
            <v>397358623</v>
          </cell>
          <cell r="M57">
            <v>5612580</v>
          </cell>
          <cell r="N57" t="str">
            <v>Mandiri USD-Posting</v>
          </cell>
          <cell r="O57">
            <v>-8340235957</v>
          </cell>
          <cell r="P57">
            <v>5511120</v>
          </cell>
          <cell r="Q57" t="str">
            <v>Bnk Dep Term Dep USD</v>
          </cell>
          <cell r="R57">
            <v>0</v>
          </cell>
          <cell r="S57">
            <v>5612570</v>
          </cell>
          <cell r="T57" t="str">
            <v>Mandiri IDR-Posting</v>
          </cell>
          <cell r="U57">
            <v>-879333366</v>
          </cell>
          <cell r="V57">
            <v>3211140</v>
          </cell>
          <cell r="W57" t="str">
            <v>Tax 25</v>
          </cell>
          <cell r="X57">
            <v>75669830</v>
          </cell>
          <cell r="Y57">
            <v>3211140</v>
          </cell>
          <cell r="Z57" t="str">
            <v>Tax 25</v>
          </cell>
          <cell r="AA57">
            <v>74868330</v>
          </cell>
          <cell r="AB57">
            <v>3211140</v>
          </cell>
          <cell r="AC57" t="str">
            <v>Tax 25</v>
          </cell>
          <cell r="AD57">
            <v>78905230</v>
          </cell>
          <cell r="AE57">
            <v>5211160</v>
          </cell>
          <cell r="AF57" t="str">
            <v>Intra Grp Loan TMT</v>
          </cell>
          <cell r="AG57">
            <v>-6795000000</v>
          </cell>
          <cell r="AH57">
            <v>5211110</v>
          </cell>
          <cell r="AI57" t="str">
            <v>Intra Grp Loan TUS(S</v>
          </cell>
          <cell r="AJ57">
            <v>-42625000000</v>
          </cell>
          <cell r="AK57">
            <v>3211140</v>
          </cell>
          <cell r="AL57" t="str">
            <v>Tax 25</v>
          </cell>
          <cell r="AM57">
            <v>84944430</v>
          </cell>
        </row>
        <row r="58">
          <cell r="A58">
            <v>3311110</v>
          </cell>
          <cell r="B58" t="str">
            <v>Deferred Tax Asset</v>
          </cell>
          <cell r="C58">
            <v>3613891264</v>
          </cell>
          <cell r="G58">
            <v>5612580</v>
          </cell>
          <cell r="H58" t="str">
            <v>Mandiri USD-Posting</v>
          </cell>
          <cell r="I58">
            <v>-18021016469</v>
          </cell>
          <cell r="J58">
            <v>5612890</v>
          </cell>
          <cell r="K58" t="str">
            <v>Citi IDR Post Acct</v>
          </cell>
          <cell r="L58">
            <v>0</v>
          </cell>
          <cell r="M58">
            <v>5612581</v>
          </cell>
          <cell r="N58" t="str">
            <v>Mandiri USD-Outgoing</v>
          </cell>
          <cell r="O58">
            <v>-139130863</v>
          </cell>
          <cell r="P58">
            <v>5612570</v>
          </cell>
          <cell r="Q58" t="str">
            <v>Mandiri IDR-Posting</v>
          </cell>
          <cell r="R58">
            <v>-1800232052</v>
          </cell>
          <cell r="S58">
            <v>5612580</v>
          </cell>
          <cell r="T58" t="str">
            <v>Mandiri USD-Posting</v>
          </cell>
          <cell r="U58">
            <v>-1486716336</v>
          </cell>
          <cell r="V58">
            <v>3211170</v>
          </cell>
          <cell r="W58" t="str">
            <v>Withholding Tax</v>
          </cell>
          <cell r="X58">
            <v>477632253</v>
          </cell>
          <cell r="Y58">
            <v>3211170</v>
          </cell>
          <cell r="Z58" t="str">
            <v>Withholding Tax</v>
          </cell>
          <cell r="AA58">
            <v>-36519582</v>
          </cell>
          <cell r="AB58">
            <v>3211170</v>
          </cell>
          <cell r="AC58" t="str">
            <v>Withholding Tax</v>
          </cell>
          <cell r="AD58">
            <v>93903617</v>
          </cell>
          <cell r="AE58">
            <v>5311199</v>
          </cell>
          <cell r="AF58" t="str">
            <v>Lease Finance  Reval</v>
          </cell>
          <cell r="AG58">
            <v>-697499716</v>
          </cell>
          <cell r="AH58">
            <v>5211160</v>
          </cell>
          <cell r="AI58" t="str">
            <v>Intra Grp Loan TMT</v>
          </cell>
          <cell r="AJ58">
            <v>-10200000000</v>
          </cell>
          <cell r="AK58">
            <v>3211170</v>
          </cell>
          <cell r="AL58" t="str">
            <v>Withholding Tax</v>
          </cell>
          <cell r="AM58">
            <v>-3324902179</v>
          </cell>
        </row>
        <row r="59">
          <cell r="A59">
            <v>3311120</v>
          </cell>
          <cell r="B59" t="str">
            <v>Deferred Tax Liab</v>
          </cell>
          <cell r="C59">
            <v>-2204582585</v>
          </cell>
          <cell r="G59">
            <v>5612590</v>
          </cell>
          <cell r="H59" t="str">
            <v>SCB IDR Posting Acct</v>
          </cell>
          <cell r="I59">
            <v>-6000</v>
          </cell>
          <cell r="J59">
            <v>5612900</v>
          </cell>
          <cell r="K59" t="str">
            <v>CITI USD - Posting</v>
          </cell>
          <cell r="L59">
            <v>354383280</v>
          </cell>
          <cell r="M59">
            <v>5612590</v>
          </cell>
          <cell r="N59" t="str">
            <v>SCB IDR Posting Acct</v>
          </cell>
          <cell r="O59">
            <v>-6000</v>
          </cell>
          <cell r="P59">
            <v>5612580</v>
          </cell>
          <cell r="Q59" t="str">
            <v>Mandiri USD-Posting</v>
          </cell>
          <cell r="R59">
            <v>154185098</v>
          </cell>
          <cell r="S59">
            <v>5612581</v>
          </cell>
          <cell r="T59" t="str">
            <v>Mandiri USD-Outgoing</v>
          </cell>
          <cell r="U59">
            <v>139130863</v>
          </cell>
          <cell r="V59">
            <v>5211160</v>
          </cell>
          <cell r="W59" t="str">
            <v>Intra Grp Loan TMT</v>
          </cell>
          <cell r="X59">
            <v>-12337500000</v>
          </cell>
          <cell r="Y59">
            <v>5211160</v>
          </cell>
          <cell r="Z59" t="str">
            <v>Intra Grp Loan TMT</v>
          </cell>
          <cell r="AA59">
            <v>-12675000000</v>
          </cell>
          <cell r="AB59">
            <v>5311190</v>
          </cell>
          <cell r="AC59" t="str">
            <v>Lease Finance</v>
          </cell>
          <cell r="AD59">
            <v>-10600048000</v>
          </cell>
          <cell r="AE59">
            <v>5511110</v>
          </cell>
          <cell r="AF59" t="str">
            <v>Bnk Dep Term Dep IDR</v>
          </cell>
          <cell r="AG59">
            <v>0</v>
          </cell>
          <cell r="AH59">
            <v>5311199</v>
          </cell>
          <cell r="AI59" t="str">
            <v>Lease Finance  Reval</v>
          </cell>
          <cell r="AJ59">
            <v>-276367812</v>
          </cell>
          <cell r="AK59">
            <v>4131110</v>
          </cell>
          <cell r="AL59" t="str">
            <v>Retained Earnings</v>
          </cell>
          <cell r="AM59">
            <v>0</v>
          </cell>
        </row>
        <row r="60">
          <cell r="A60">
            <v>4131110</v>
          </cell>
          <cell r="B60" t="str">
            <v>Retained Earnings</v>
          </cell>
          <cell r="C60">
            <v>-64172312056</v>
          </cell>
          <cell r="G60">
            <v>5612600</v>
          </cell>
          <cell r="H60" t="str">
            <v>SCB USD Posting Acct</v>
          </cell>
          <cell r="I60">
            <v>534725697</v>
          </cell>
          <cell r="J60">
            <v>5622110</v>
          </cell>
          <cell r="K60" t="str">
            <v>Petty Cash PTCK HO</v>
          </cell>
          <cell r="L60">
            <v>-40506377</v>
          </cell>
          <cell r="M60">
            <v>5612600</v>
          </cell>
          <cell r="N60" t="str">
            <v>SCB USD Posting Acct</v>
          </cell>
          <cell r="O60">
            <v>405907724</v>
          </cell>
          <cell r="P60">
            <v>5612590</v>
          </cell>
          <cell r="Q60" t="str">
            <v>SCB IDR Posting Acct</v>
          </cell>
          <cell r="R60">
            <v>-12281912</v>
          </cell>
          <cell r="S60">
            <v>5612590</v>
          </cell>
          <cell r="T60" t="str">
            <v>SCB IDR Posting Acct</v>
          </cell>
          <cell r="U60">
            <v>-6000</v>
          </cell>
          <cell r="V60">
            <v>5612570</v>
          </cell>
          <cell r="W60" t="str">
            <v>Mandiri IDR-Posting</v>
          </cell>
          <cell r="X60">
            <v>866907484</v>
          </cell>
          <cell r="Y60">
            <v>5311190</v>
          </cell>
          <cell r="Z60" t="str">
            <v>Lease Finance</v>
          </cell>
          <cell r="AA60">
            <v>-49981272812</v>
          </cell>
          <cell r="AB60">
            <v>5311199</v>
          </cell>
          <cell r="AC60" t="str">
            <v>Lease Finance  Reval</v>
          </cell>
          <cell r="AD60">
            <v>856767994</v>
          </cell>
          <cell r="AE60">
            <v>5511120</v>
          </cell>
          <cell r="AF60" t="str">
            <v>Bnk Dep Term Dep USD</v>
          </cell>
          <cell r="AG60">
            <v>0</v>
          </cell>
          <cell r="AH60">
            <v>5511110</v>
          </cell>
          <cell r="AI60" t="str">
            <v>Bnk Dep Term Dep IDR</v>
          </cell>
          <cell r="AJ60">
            <v>0</v>
          </cell>
          <cell r="AK60">
            <v>5311199</v>
          </cell>
          <cell r="AL60" t="str">
            <v>Lease Finance  Reval</v>
          </cell>
          <cell r="AM60">
            <v>473773392</v>
          </cell>
        </row>
        <row r="61">
          <cell r="A61">
            <v>4211110</v>
          </cell>
          <cell r="B61" t="str">
            <v>Ordinary Share Cap</v>
          </cell>
          <cell r="C61">
            <v>-250000000</v>
          </cell>
          <cell r="G61">
            <v>5612890</v>
          </cell>
          <cell r="H61" t="str">
            <v>Citi IDR Post Acct</v>
          </cell>
          <cell r="I61">
            <v>-40223500</v>
          </cell>
          <cell r="J61">
            <v>5622130</v>
          </cell>
          <cell r="K61" t="str">
            <v>Petty Cash Pekanbaru</v>
          </cell>
          <cell r="L61">
            <v>258275</v>
          </cell>
          <cell r="M61">
            <v>5612890</v>
          </cell>
          <cell r="N61" t="str">
            <v>Citi IDR Post Acct</v>
          </cell>
          <cell r="O61">
            <v>-12000</v>
          </cell>
          <cell r="P61">
            <v>5612600</v>
          </cell>
          <cell r="Q61" t="str">
            <v>SCB USD Posting Acct</v>
          </cell>
          <cell r="R61">
            <v>646590993</v>
          </cell>
          <cell r="S61">
            <v>5612600</v>
          </cell>
          <cell r="T61" t="str">
            <v>SCB USD Posting Acct</v>
          </cell>
          <cell r="U61">
            <v>713397320</v>
          </cell>
          <cell r="V61">
            <v>5612580</v>
          </cell>
          <cell r="W61" t="str">
            <v>Mandiri USD-Posting</v>
          </cell>
          <cell r="X61">
            <v>1186346953</v>
          </cell>
          <cell r="Y61">
            <v>5311199</v>
          </cell>
          <cell r="Z61" t="str">
            <v>Lease Finance  Reval</v>
          </cell>
          <cell r="AA61">
            <v>-1030526998</v>
          </cell>
          <cell r="AB61">
            <v>5511110</v>
          </cell>
          <cell r="AC61" t="str">
            <v>Bnk Dep Term Dep IDR</v>
          </cell>
          <cell r="AD61">
            <v>0</v>
          </cell>
          <cell r="AE61">
            <v>5612570</v>
          </cell>
          <cell r="AF61" t="str">
            <v>Mandiri IDR-Posting</v>
          </cell>
          <cell r="AG61">
            <v>1474681250</v>
          </cell>
          <cell r="AH61">
            <v>5511120</v>
          </cell>
          <cell r="AI61" t="str">
            <v>Bnk Dep Term Dep USD</v>
          </cell>
          <cell r="AJ61">
            <v>0</v>
          </cell>
          <cell r="AK61">
            <v>5511120</v>
          </cell>
          <cell r="AL61" t="str">
            <v>Bnk Dep Term Dep USD</v>
          </cell>
          <cell r="AM61">
            <v>0</v>
          </cell>
        </row>
        <row r="62">
          <cell r="A62">
            <v>5511110</v>
          </cell>
          <cell r="B62" t="str">
            <v>Bnk Dep Term Dep IDR</v>
          </cell>
          <cell r="C62">
            <v>8098400000</v>
          </cell>
          <cell r="G62">
            <v>5612900</v>
          </cell>
          <cell r="H62" t="str">
            <v>CITI USD - Posting</v>
          </cell>
          <cell r="I62">
            <v>142208263</v>
          </cell>
          <cell r="J62">
            <v>5622140</v>
          </cell>
          <cell r="K62" t="str">
            <v>Petty Cash Bontang</v>
          </cell>
          <cell r="L62">
            <v>-27805079</v>
          </cell>
          <cell r="M62">
            <v>5612900</v>
          </cell>
          <cell r="N62" t="str">
            <v>CITI USD - Posting</v>
          </cell>
          <cell r="O62">
            <v>1082010189</v>
          </cell>
          <cell r="P62">
            <v>5612890</v>
          </cell>
          <cell r="Q62" t="str">
            <v>Citi IDR Post Acct</v>
          </cell>
          <cell r="R62">
            <v>-6000</v>
          </cell>
          <cell r="S62">
            <v>5612890</v>
          </cell>
          <cell r="T62" t="str">
            <v>Citi IDR Post Acct</v>
          </cell>
          <cell r="U62">
            <v>-5008415</v>
          </cell>
          <cell r="V62">
            <v>5612590</v>
          </cell>
          <cell r="W62" t="str">
            <v>SCB IDR Posting Acct</v>
          </cell>
          <cell r="X62">
            <v>229666509</v>
          </cell>
          <cell r="Y62">
            <v>5511110</v>
          </cell>
          <cell r="Z62" t="str">
            <v>Bnk Dep Term Dep IDR</v>
          </cell>
          <cell r="AA62">
            <v>-27000000</v>
          </cell>
          <cell r="AB62">
            <v>5612570</v>
          </cell>
          <cell r="AC62" t="str">
            <v>Mandiri IDR-Posting</v>
          </cell>
          <cell r="AD62">
            <v>648399812</v>
          </cell>
          <cell r="AE62">
            <v>5612571</v>
          </cell>
          <cell r="AF62" t="str">
            <v>Mandiri IDR-Outgoing</v>
          </cell>
          <cell r="AG62">
            <v>0</v>
          </cell>
          <cell r="AH62">
            <v>5612570</v>
          </cell>
          <cell r="AI62" t="str">
            <v>Mandiri IDR-Posting</v>
          </cell>
          <cell r="AJ62">
            <v>-1355037519</v>
          </cell>
          <cell r="AK62">
            <v>5612570</v>
          </cell>
          <cell r="AL62" t="str">
            <v>Mandiri IDR-Posting</v>
          </cell>
          <cell r="AM62">
            <v>900525876</v>
          </cell>
        </row>
        <row r="63">
          <cell r="A63">
            <v>5511120</v>
          </cell>
          <cell r="B63" t="str">
            <v>Bnk Dep Term Dep USD</v>
          </cell>
          <cell r="C63">
            <v>18774000000</v>
          </cell>
          <cell r="G63">
            <v>5622110</v>
          </cell>
          <cell r="H63" t="str">
            <v>Petty Cash PTCK HO</v>
          </cell>
          <cell r="I63">
            <v>28289448</v>
          </cell>
          <cell r="J63">
            <v>5622160</v>
          </cell>
          <cell r="K63" t="str">
            <v>Petty Cash Adaro</v>
          </cell>
          <cell r="L63">
            <v>771889440</v>
          </cell>
          <cell r="M63">
            <v>5622110</v>
          </cell>
          <cell r="N63" t="str">
            <v>Petty Cash PTCK HO</v>
          </cell>
          <cell r="O63">
            <v>79471830</v>
          </cell>
          <cell r="P63">
            <v>5612900</v>
          </cell>
          <cell r="Q63" t="str">
            <v>CITI USD - Posting</v>
          </cell>
          <cell r="R63">
            <v>-1168502466</v>
          </cell>
          <cell r="S63">
            <v>5612900</v>
          </cell>
          <cell r="T63" t="str">
            <v>CITI USD - Posting</v>
          </cell>
          <cell r="U63">
            <v>-1785819263</v>
          </cell>
          <cell r="V63">
            <v>5612600</v>
          </cell>
          <cell r="W63" t="str">
            <v>SCB USD Posting Acct</v>
          </cell>
          <cell r="X63">
            <v>-1073025317</v>
          </cell>
          <cell r="Y63">
            <v>5612570</v>
          </cell>
          <cell r="Z63" t="str">
            <v>Mandiri IDR-Posting</v>
          </cell>
          <cell r="AA63">
            <v>-539712253</v>
          </cell>
          <cell r="AB63">
            <v>5612580</v>
          </cell>
          <cell r="AC63" t="str">
            <v>Mandiri USD-Posting</v>
          </cell>
          <cell r="AD63">
            <v>-7681316695</v>
          </cell>
          <cell r="AE63">
            <v>5612580</v>
          </cell>
          <cell r="AF63" t="str">
            <v>Mandiri USD-Posting</v>
          </cell>
          <cell r="AG63">
            <v>-1090903063</v>
          </cell>
          <cell r="AH63">
            <v>5612571</v>
          </cell>
          <cell r="AI63" t="str">
            <v>Mandiri IDR-Outgoing</v>
          </cell>
          <cell r="AJ63">
            <v>0</v>
          </cell>
          <cell r="AK63">
            <v>5612580</v>
          </cell>
          <cell r="AL63" t="str">
            <v>Mandiri USD-Posting</v>
          </cell>
          <cell r="AM63">
            <v>-2497014260</v>
          </cell>
        </row>
        <row r="64">
          <cell r="A64">
            <v>5612570</v>
          </cell>
          <cell r="B64" t="str">
            <v>Mandiri IDR-Posting</v>
          </cell>
          <cell r="C64">
            <v>35361201</v>
          </cell>
          <cell r="G64">
            <v>5622130</v>
          </cell>
          <cell r="H64" t="str">
            <v>Petty Cash Pekanbaru</v>
          </cell>
          <cell r="I64">
            <v>-30854792</v>
          </cell>
          <cell r="J64">
            <v>5622170</v>
          </cell>
          <cell r="K64" t="str">
            <v>Petty Cash TJG Enim</v>
          </cell>
          <cell r="L64">
            <v>22188821</v>
          </cell>
          <cell r="M64">
            <v>5622130</v>
          </cell>
          <cell r="N64" t="str">
            <v>Petty Cash Pekanbaru</v>
          </cell>
          <cell r="O64">
            <v>1396577</v>
          </cell>
          <cell r="P64">
            <v>5622110</v>
          </cell>
          <cell r="Q64" t="str">
            <v>Petty Cash PTCK HO</v>
          </cell>
          <cell r="R64">
            <v>12976926</v>
          </cell>
          <cell r="S64">
            <v>5622110</v>
          </cell>
          <cell r="T64" t="str">
            <v>Petty Cash PTCK HO</v>
          </cell>
          <cell r="U64">
            <v>-33604793</v>
          </cell>
          <cell r="V64">
            <v>5612890</v>
          </cell>
          <cell r="W64" t="str">
            <v>Citi IDR Post Acct</v>
          </cell>
          <cell r="X64">
            <v>-6000</v>
          </cell>
          <cell r="Y64">
            <v>5612580</v>
          </cell>
          <cell r="Z64" t="str">
            <v>Mandiri USD-Posting</v>
          </cell>
          <cell r="AA64">
            <v>7587853739</v>
          </cell>
          <cell r="AB64">
            <v>5612590</v>
          </cell>
          <cell r="AC64" t="str">
            <v>SCB IDR Posting Acct</v>
          </cell>
          <cell r="AD64">
            <v>0</v>
          </cell>
          <cell r="AE64">
            <v>5612590</v>
          </cell>
          <cell r="AF64" t="str">
            <v>SCB IDR Posting Acct</v>
          </cell>
          <cell r="AG64">
            <v>-200042000</v>
          </cell>
          <cell r="AH64">
            <v>5612580</v>
          </cell>
          <cell r="AI64" t="str">
            <v>Mandiri USD-Posting</v>
          </cell>
          <cell r="AJ64">
            <v>8213623582</v>
          </cell>
          <cell r="AK64">
            <v>5612590</v>
          </cell>
          <cell r="AL64" t="str">
            <v>SCB IDR Posting Acct</v>
          </cell>
          <cell r="AM64">
            <v>-14971460</v>
          </cell>
        </row>
        <row r="65">
          <cell r="A65">
            <v>5612580</v>
          </cell>
          <cell r="B65" t="str">
            <v>Mandiri USD-Posting</v>
          </cell>
          <cell r="C65">
            <v>9595190786</v>
          </cell>
          <cell r="G65">
            <v>5622140</v>
          </cell>
          <cell r="H65" t="str">
            <v>Petty Cash Bontang</v>
          </cell>
          <cell r="I65">
            <v>17200000</v>
          </cell>
          <cell r="J65">
            <v>5622200</v>
          </cell>
          <cell r="K65" t="str">
            <v>Petty Cash Embalut</v>
          </cell>
          <cell r="L65">
            <v>0</v>
          </cell>
          <cell r="M65">
            <v>5622140</v>
          </cell>
          <cell r="N65" t="str">
            <v>Petty Cash Bontang</v>
          </cell>
          <cell r="O65">
            <v>-15865330</v>
          </cell>
          <cell r="P65">
            <v>5622130</v>
          </cell>
          <cell r="Q65" t="str">
            <v>Petty Cash Pekanbaru</v>
          </cell>
          <cell r="R65">
            <v>1352061</v>
          </cell>
          <cell r="S65">
            <v>5622130</v>
          </cell>
          <cell r="T65" t="str">
            <v>Petty Cash Pekanbaru</v>
          </cell>
          <cell r="U65">
            <v>-3905213</v>
          </cell>
          <cell r="V65">
            <v>5612900</v>
          </cell>
          <cell r="W65" t="str">
            <v>CITI USD - Posting</v>
          </cell>
          <cell r="X65">
            <v>1524254740</v>
          </cell>
          <cell r="Y65">
            <v>5612590</v>
          </cell>
          <cell r="Z65" t="str">
            <v>SCB IDR Posting Acct</v>
          </cell>
          <cell r="AA65">
            <v>-6000</v>
          </cell>
          <cell r="AB65">
            <v>5612600</v>
          </cell>
          <cell r="AC65" t="str">
            <v>SCB USD Posting Acct</v>
          </cell>
          <cell r="AD65">
            <v>1014154396</v>
          </cell>
          <cell r="AE65">
            <v>5612600</v>
          </cell>
          <cell r="AF65" t="str">
            <v>SCB USD Posting Acct</v>
          </cell>
          <cell r="AG65">
            <v>-131735184</v>
          </cell>
          <cell r="AH65">
            <v>5612590</v>
          </cell>
          <cell r="AI65" t="str">
            <v>SCB IDR Posting Acct</v>
          </cell>
          <cell r="AJ65">
            <v>0</v>
          </cell>
          <cell r="AK65">
            <v>5612600</v>
          </cell>
          <cell r="AL65" t="str">
            <v>SCB USD Posting Acct</v>
          </cell>
          <cell r="AM65">
            <v>-834852150</v>
          </cell>
        </row>
        <row r="66">
          <cell r="A66">
            <v>5612590</v>
          </cell>
          <cell r="B66" t="str">
            <v>SCB IDR Posting Acct</v>
          </cell>
          <cell r="C66">
            <v>27336943</v>
          </cell>
          <cell r="G66">
            <v>5622160</v>
          </cell>
          <cell r="H66" t="str">
            <v>Petty Cash Adaro</v>
          </cell>
          <cell r="I66">
            <v>30060664</v>
          </cell>
          <cell r="J66">
            <v>5622210</v>
          </cell>
          <cell r="K66" t="str">
            <v>Petty Cash Malinau</v>
          </cell>
          <cell r="L66">
            <v>-23477450</v>
          </cell>
          <cell r="M66">
            <v>5622160</v>
          </cell>
          <cell r="N66" t="str">
            <v>Petty Cash Adaro</v>
          </cell>
          <cell r="O66">
            <v>-74599179</v>
          </cell>
          <cell r="P66">
            <v>5622140</v>
          </cell>
          <cell r="Q66" t="str">
            <v>Petty Cash Bontang</v>
          </cell>
          <cell r="R66">
            <v>7128484</v>
          </cell>
          <cell r="S66">
            <v>5622140</v>
          </cell>
          <cell r="T66" t="str">
            <v>Petty Cash Bontang</v>
          </cell>
          <cell r="U66">
            <v>-6360167</v>
          </cell>
          <cell r="V66">
            <v>5622110</v>
          </cell>
          <cell r="W66" t="str">
            <v>Petty Cash PTCK HO</v>
          </cell>
          <cell r="X66">
            <v>-26632815</v>
          </cell>
          <cell r="Y66">
            <v>5612600</v>
          </cell>
          <cell r="Z66" t="str">
            <v>SCB USD Posting Acct</v>
          </cell>
          <cell r="AA66">
            <v>-1615740381</v>
          </cell>
          <cell r="AB66">
            <v>5612890</v>
          </cell>
          <cell r="AC66" t="str">
            <v>Citi IDR Post Acct</v>
          </cell>
          <cell r="AD66">
            <v>1217720</v>
          </cell>
          <cell r="AE66">
            <v>5612890</v>
          </cell>
          <cell r="AF66" t="str">
            <v>Citi IDR Post Acct</v>
          </cell>
          <cell r="AG66">
            <v>-117600</v>
          </cell>
          <cell r="AH66">
            <v>5612600</v>
          </cell>
          <cell r="AI66" t="str">
            <v>SCB USD Posting Acct</v>
          </cell>
          <cell r="AJ66">
            <v>5061655</v>
          </cell>
          <cell r="AK66">
            <v>5612890</v>
          </cell>
          <cell r="AL66" t="str">
            <v>Citi IDR Post Acct</v>
          </cell>
          <cell r="AM66">
            <v>-24449500</v>
          </cell>
        </row>
        <row r="67">
          <cell r="A67">
            <v>5612600</v>
          </cell>
          <cell r="B67" t="str">
            <v>SCB USD Posting Acct</v>
          </cell>
          <cell r="C67">
            <v>1535698717</v>
          </cell>
          <cell r="G67">
            <v>5622170</v>
          </cell>
          <cell r="H67" t="str">
            <v>Petty Cash TJG Enim</v>
          </cell>
          <cell r="I67">
            <v>14775441</v>
          </cell>
          <cell r="J67">
            <v>5622220</v>
          </cell>
          <cell r="K67" t="str">
            <v>Petty Cash LentengAg</v>
          </cell>
          <cell r="L67">
            <v>0</v>
          </cell>
          <cell r="M67">
            <v>5622170</v>
          </cell>
          <cell r="N67" t="str">
            <v>Petty Cash TJG Enim</v>
          </cell>
          <cell r="O67">
            <v>-37865638</v>
          </cell>
          <cell r="P67">
            <v>5622160</v>
          </cell>
          <cell r="Q67" t="str">
            <v>Petty Cash Adaro</v>
          </cell>
          <cell r="R67">
            <v>-816935390</v>
          </cell>
          <cell r="S67">
            <v>5622160</v>
          </cell>
          <cell r="T67" t="str">
            <v>Petty Cash Adaro</v>
          </cell>
          <cell r="U67">
            <v>-18038020</v>
          </cell>
          <cell r="V67">
            <v>5622130</v>
          </cell>
          <cell r="W67" t="str">
            <v>Petty Cash Pekanbaru</v>
          </cell>
          <cell r="X67">
            <v>-4110261</v>
          </cell>
          <cell r="Y67">
            <v>5612890</v>
          </cell>
          <cell r="Z67" t="str">
            <v>Citi IDR Post Acct</v>
          </cell>
          <cell r="AA67">
            <v>-6000</v>
          </cell>
          <cell r="AB67">
            <v>5612900</v>
          </cell>
          <cell r="AC67" t="str">
            <v>CITI USD - Posting</v>
          </cell>
          <cell r="AD67">
            <v>40033877</v>
          </cell>
          <cell r="AE67">
            <v>5612900</v>
          </cell>
          <cell r="AF67" t="str">
            <v>CITI USD - Posting</v>
          </cell>
          <cell r="AG67">
            <v>-112522291</v>
          </cell>
          <cell r="AH67">
            <v>5612890</v>
          </cell>
          <cell r="AI67" t="str">
            <v>Citi IDR Post Acct</v>
          </cell>
          <cell r="AJ67">
            <v>0</v>
          </cell>
          <cell r="AK67">
            <v>5612900</v>
          </cell>
          <cell r="AL67" t="str">
            <v>CITI USD - Posting</v>
          </cell>
          <cell r="AM67">
            <v>-3502431502</v>
          </cell>
        </row>
        <row r="68">
          <cell r="A68">
            <v>5612890</v>
          </cell>
          <cell r="B68" t="str">
            <v>Citi IDR Post Acct</v>
          </cell>
          <cell r="C68">
            <v>82549404</v>
          </cell>
          <cell r="G68">
            <v>5622190</v>
          </cell>
          <cell r="H68" t="str">
            <v>Petty Cash LongHub'g</v>
          </cell>
          <cell r="I68">
            <v>0</v>
          </cell>
          <cell r="J68">
            <v>5622230</v>
          </cell>
          <cell r="K68" t="str">
            <v>Petty Cash SMRD PRJ</v>
          </cell>
          <cell r="L68">
            <v>-33964832</v>
          </cell>
          <cell r="M68">
            <v>5622200</v>
          </cell>
          <cell r="N68" t="str">
            <v>Petty Cash Embalut</v>
          </cell>
          <cell r="O68">
            <v>0</v>
          </cell>
          <cell r="P68">
            <v>5622170</v>
          </cell>
          <cell r="Q68" t="str">
            <v>Petty Cash TJG Enim</v>
          </cell>
          <cell r="R68">
            <v>71423784</v>
          </cell>
          <cell r="S68">
            <v>5622170</v>
          </cell>
          <cell r="T68" t="str">
            <v>Petty Cash TJG Enim</v>
          </cell>
          <cell r="U68">
            <v>-53302025</v>
          </cell>
          <cell r="V68">
            <v>5622140</v>
          </cell>
          <cell r="W68" t="str">
            <v>Petty Cash Bontang</v>
          </cell>
          <cell r="X68">
            <v>-3161487</v>
          </cell>
          <cell r="Y68">
            <v>5612900</v>
          </cell>
          <cell r="Z68" t="str">
            <v>CITI USD - Posting</v>
          </cell>
          <cell r="AA68">
            <v>-1391658175</v>
          </cell>
          <cell r="AB68">
            <v>5622110</v>
          </cell>
          <cell r="AC68" t="str">
            <v>Petty Cash PTCK HO</v>
          </cell>
          <cell r="AD68">
            <v>135676944</v>
          </cell>
          <cell r="AE68">
            <v>5622110</v>
          </cell>
          <cell r="AF68" t="str">
            <v>Petty Cash PTCK HO</v>
          </cell>
          <cell r="AG68">
            <v>-62712755</v>
          </cell>
          <cell r="AH68">
            <v>5612900</v>
          </cell>
          <cell r="AI68" t="str">
            <v>CITI USD - Posting</v>
          </cell>
          <cell r="AJ68">
            <v>3396610982</v>
          </cell>
          <cell r="AK68">
            <v>5622110</v>
          </cell>
          <cell r="AL68" t="str">
            <v>Petty Cash PTCK HO</v>
          </cell>
          <cell r="AM68">
            <v>51390678</v>
          </cell>
        </row>
        <row r="69">
          <cell r="A69">
            <v>5612900</v>
          </cell>
          <cell r="B69" t="str">
            <v>CITI USD - Posting</v>
          </cell>
          <cell r="C69">
            <v>4949183464</v>
          </cell>
          <cell r="G69">
            <v>5622200</v>
          </cell>
          <cell r="H69" t="str">
            <v>Petty Cash Embalut</v>
          </cell>
          <cell r="I69">
            <v>0</v>
          </cell>
          <cell r="J69">
            <v>5622250</v>
          </cell>
          <cell r="K69" t="str">
            <v>Petty Cash Tj Lansat</v>
          </cell>
          <cell r="L69">
            <v>0</v>
          </cell>
          <cell r="M69">
            <v>5622210</v>
          </cell>
          <cell r="N69" t="str">
            <v>Petty Cash Malinau</v>
          </cell>
          <cell r="O69">
            <v>-318136343</v>
          </cell>
          <cell r="P69">
            <v>5622210</v>
          </cell>
          <cell r="Q69" t="str">
            <v>Petty Cash Malinau</v>
          </cell>
          <cell r="R69">
            <v>315627294</v>
          </cell>
          <cell r="S69">
            <v>5622210</v>
          </cell>
          <cell r="T69" t="str">
            <v>Petty Cash Malinau</v>
          </cell>
          <cell r="U69">
            <v>-50319105</v>
          </cell>
          <cell r="V69">
            <v>5622160</v>
          </cell>
          <cell r="W69" t="str">
            <v>Petty Cash Adaro</v>
          </cell>
          <cell r="X69">
            <v>0</v>
          </cell>
          <cell r="Y69">
            <v>5622110</v>
          </cell>
          <cell r="Z69" t="str">
            <v>Petty Cash PTCK HO</v>
          </cell>
          <cell r="AA69">
            <v>-39681492</v>
          </cell>
          <cell r="AB69">
            <v>5622130</v>
          </cell>
          <cell r="AC69" t="str">
            <v>Petty Cash Pekanbaru</v>
          </cell>
          <cell r="AD69">
            <v>2420564</v>
          </cell>
          <cell r="AE69">
            <v>5622130</v>
          </cell>
          <cell r="AF69" t="str">
            <v>Petty Cash Pekanbaru</v>
          </cell>
          <cell r="AG69">
            <v>-1013807</v>
          </cell>
          <cell r="AH69">
            <v>5622110</v>
          </cell>
          <cell r="AI69" t="str">
            <v>Petty Cash PTCK HO</v>
          </cell>
          <cell r="AJ69">
            <v>-6854629</v>
          </cell>
          <cell r="AK69">
            <v>5622130</v>
          </cell>
          <cell r="AL69" t="str">
            <v>Petty Cash Pekanbaru</v>
          </cell>
          <cell r="AM69">
            <v>-6479877</v>
          </cell>
        </row>
        <row r="70">
          <cell r="A70">
            <v>5622110</v>
          </cell>
          <cell r="B70" t="str">
            <v>Petty Cash PTCK HO</v>
          </cell>
          <cell r="C70">
            <v>31585208</v>
          </cell>
          <cell r="G70">
            <v>5622210</v>
          </cell>
          <cell r="H70" t="str">
            <v>Petty Cash Malinau</v>
          </cell>
          <cell r="I70">
            <v>1956000</v>
          </cell>
          <cell r="J70">
            <v>5622290</v>
          </cell>
          <cell r="K70" t="str">
            <v>PettyCash EmbalutRRP</v>
          </cell>
          <cell r="L70">
            <v>-44241117</v>
          </cell>
          <cell r="M70">
            <v>5622220</v>
          </cell>
          <cell r="N70" t="str">
            <v>Petty Cash LentengAg</v>
          </cell>
          <cell r="O70">
            <v>-7027200</v>
          </cell>
          <cell r="P70">
            <v>5622220</v>
          </cell>
          <cell r="Q70" t="str">
            <v>Petty Cash LentengAg</v>
          </cell>
          <cell r="R70">
            <v>24278000</v>
          </cell>
          <cell r="S70">
            <v>5622220</v>
          </cell>
          <cell r="T70" t="str">
            <v>Petty Cash LentengAg</v>
          </cell>
          <cell r="U70">
            <v>0</v>
          </cell>
          <cell r="V70">
            <v>5622170</v>
          </cell>
          <cell r="W70" t="str">
            <v>Petty Cash TJG Enim</v>
          </cell>
          <cell r="X70">
            <v>37213150</v>
          </cell>
          <cell r="Y70">
            <v>5622130</v>
          </cell>
          <cell r="Z70" t="str">
            <v>Petty Cash Pekanbaru</v>
          </cell>
          <cell r="AA70">
            <v>-5921411</v>
          </cell>
          <cell r="AB70">
            <v>5622140</v>
          </cell>
          <cell r="AC70" t="str">
            <v>Petty Cash Bontang</v>
          </cell>
          <cell r="AD70">
            <v>-10833564</v>
          </cell>
          <cell r="AE70">
            <v>5622140</v>
          </cell>
          <cell r="AF70" t="str">
            <v>Petty Cash Bontang</v>
          </cell>
          <cell r="AG70">
            <v>-1178849</v>
          </cell>
          <cell r="AH70">
            <v>5622130</v>
          </cell>
          <cell r="AI70" t="str">
            <v>Petty Cash Pekanbaru</v>
          </cell>
          <cell r="AJ70">
            <v>-11929629</v>
          </cell>
          <cell r="AK70">
            <v>5622140</v>
          </cell>
          <cell r="AL70" t="str">
            <v>Petty Cash Bontang</v>
          </cell>
          <cell r="AM70">
            <v>-12110862</v>
          </cell>
        </row>
        <row r="71">
          <cell r="A71">
            <v>5622130</v>
          </cell>
          <cell r="B71" t="str">
            <v>Petty Cash Pekanbaru</v>
          </cell>
          <cell r="C71">
            <v>24970824</v>
          </cell>
          <cell r="G71">
            <v>5622220</v>
          </cell>
          <cell r="H71" t="str">
            <v>Petty Cash LentengAg</v>
          </cell>
          <cell r="I71">
            <v>1800</v>
          </cell>
          <cell r="J71">
            <v>5622300</v>
          </cell>
          <cell r="K71" t="str">
            <v>Petty Cash Jorong</v>
          </cell>
          <cell r="L71">
            <v>-83145746</v>
          </cell>
          <cell r="M71">
            <v>5622230</v>
          </cell>
          <cell r="N71" t="str">
            <v>Petty Cash SMRD PRJ</v>
          </cell>
          <cell r="O71">
            <v>-8267499</v>
          </cell>
          <cell r="P71">
            <v>5622230</v>
          </cell>
          <cell r="Q71" t="str">
            <v>Petty Cash SMRD PRJ</v>
          </cell>
          <cell r="R71">
            <v>13792116</v>
          </cell>
          <cell r="S71">
            <v>5622230</v>
          </cell>
          <cell r="T71" t="str">
            <v>Petty Cash SMRD PRJ</v>
          </cell>
          <cell r="U71">
            <v>8926214</v>
          </cell>
          <cell r="V71">
            <v>5622210</v>
          </cell>
          <cell r="W71" t="str">
            <v>Petty Cash Malinau</v>
          </cell>
          <cell r="X71">
            <v>-11430477</v>
          </cell>
          <cell r="Y71">
            <v>5622140</v>
          </cell>
          <cell r="Z71" t="str">
            <v>Petty Cash Bontang</v>
          </cell>
          <cell r="AA71">
            <v>18440900</v>
          </cell>
          <cell r="AB71">
            <v>5622160</v>
          </cell>
          <cell r="AC71" t="str">
            <v>Petty Cash Adaro</v>
          </cell>
          <cell r="AD71">
            <v>0</v>
          </cell>
          <cell r="AE71">
            <v>5622160</v>
          </cell>
          <cell r="AF71" t="str">
            <v>Petty Cash Adaro</v>
          </cell>
          <cell r="AG71">
            <v>0</v>
          </cell>
          <cell r="AH71">
            <v>5622140</v>
          </cell>
          <cell r="AI71" t="str">
            <v>Petty Cash Bontang</v>
          </cell>
          <cell r="AJ71">
            <v>13505021</v>
          </cell>
          <cell r="AK71">
            <v>5622160</v>
          </cell>
          <cell r="AL71" t="str">
            <v>Petty Cash Adaro</v>
          </cell>
          <cell r="AM71">
            <v>0</v>
          </cell>
        </row>
        <row r="72">
          <cell r="A72">
            <v>5622140</v>
          </cell>
          <cell r="B72" t="str">
            <v>Petty Cash Bontang</v>
          </cell>
          <cell r="C72">
            <v>21480884</v>
          </cell>
          <cell r="G72">
            <v>5622230</v>
          </cell>
          <cell r="H72" t="str">
            <v>Petty Cash SMRD PRJ</v>
          </cell>
          <cell r="I72">
            <v>38341800</v>
          </cell>
          <cell r="J72">
            <v>5622320</v>
          </cell>
          <cell r="K72" t="str">
            <v>Petty Cash Loa Janan</v>
          </cell>
          <cell r="L72">
            <v>115163952</v>
          </cell>
          <cell r="M72">
            <v>5622240</v>
          </cell>
          <cell r="N72" t="str">
            <v>Petty Cash LongLembu</v>
          </cell>
          <cell r="O72">
            <v>0</v>
          </cell>
          <cell r="P72">
            <v>5622240</v>
          </cell>
          <cell r="Q72" t="str">
            <v>Petty Cash LongLembu</v>
          </cell>
          <cell r="R72">
            <v>0</v>
          </cell>
          <cell r="S72">
            <v>5622240</v>
          </cell>
          <cell r="T72" t="str">
            <v>Petty Cash LongLembu</v>
          </cell>
          <cell r="U72">
            <v>0</v>
          </cell>
          <cell r="V72">
            <v>5622220</v>
          </cell>
          <cell r="W72" t="str">
            <v>Petty Cash LentengAg</v>
          </cell>
          <cell r="X72">
            <v>14500000</v>
          </cell>
          <cell r="Y72">
            <v>5622160</v>
          </cell>
          <cell r="Z72" t="str">
            <v>Petty Cash Adaro</v>
          </cell>
          <cell r="AA72">
            <v>0</v>
          </cell>
          <cell r="AB72">
            <v>5622170</v>
          </cell>
          <cell r="AC72" t="str">
            <v>Petty Cash TJG Enim</v>
          </cell>
          <cell r="AD72">
            <v>10062421</v>
          </cell>
          <cell r="AE72">
            <v>5622170</v>
          </cell>
          <cell r="AF72" t="str">
            <v>Petty Cash TJG Enim</v>
          </cell>
          <cell r="AG72">
            <v>172199098</v>
          </cell>
          <cell r="AH72">
            <v>5622160</v>
          </cell>
          <cell r="AI72" t="str">
            <v>Petty Cash Adaro</v>
          </cell>
          <cell r="AJ72">
            <v>0</v>
          </cell>
          <cell r="AK72">
            <v>5622170</v>
          </cell>
          <cell r="AL72" t="str">
            <v>Petty Cash TJG Enim</v>
          </cell>
          <cell r="AM72">
            <v>-144062447</v>
          </cell>
        </row>
        <row r="73">
          <cell r="A73">
            <v>5622150</v>
          </cell>
          <cell r="B73" t="str">
            <v>Petty Cash Melak SMD</v>
          </cell>
          <cell r="C73">
            <v>1212131</v>
          </cell>
          <cell r="G73">
            <v>5622240</v>
          </cell>
          <cell r="H73" t="str">
            <v>Petty Cash LongLembu</v>
          </cell>
          <cell r="I73">
            <v>0</v>
          </cell>
          <cell r="J73">
            <v>5622340</v>
          </cell>
          <cell r="K73" t="str">
            <v>Petty Cash BatuLicin</v>
          </cell>
          <cell r="L73">
            <v>118995580</v>
          </cell>
          <cell r="M73">
            <v>5622250</v>
          </cell>
          <cell r="N73" t="str">
            <v>Petty Cash Tj Lansat</v>
          </cell>
          <cell r="O73">
            <v>3000000</v>
          </cell>
          <cell r="P73">
            <v>5622250</v>
          </cell>
          <cell r="Q73" t="str">
            <v>Petty Cash Tj Lansat</v>
          </cell>
          <cell r="R73">
            <v>-5233100</v>
          </cell>
          <cell r="S73">
            <v>5622250</v>
          </cell>
          <cell r="T73" t="str">
            <v>Petty Cash Tj Lansat</v>
          </cell>
          <cell r="U73">
            <v>3510850</v>
          </cell>
          <cell r="V73">
            <v>5622230</v>
          </cell>
          <cell r="W73" t="str">
            <v>Petty Cash SMRD PRJ</v>
          </cell>
          <cell r="X73">
            <v>80081076</v>
          </cell>
          <cell r="Y73">
            <v>5622170</v>
          </cell>
          <cell r="Z73" t="str">
            <v>Petty Cash TJG Enim</v>
          </cell>
          <cell r="AA73">
            <v>-34885986</v>
          </cell>
          <cell r="AB73">
            <v>5622210</v>
          </cell>
          <cell r="AC73" t="str">
            <v>Petty Cash Malinau</v>
          </cell>
          <cell r="AD73">
            <v>74996937</v>
          </cell>
          <cell r="AE73">
            <v>5622210</v>
          </cell>
          <cell r="AF73" t="str">
            <v>Petty Cash Malinau</v>
          </cell>
          <cell r="AG73">
            <v>-135967182</v>
          </cell>
          <cell r="AH73">
            <v>5622170</v>
          </cell>
          <cell r="AI73" t="str">
            <v>Petty Cash TJG Enim</v>
          </cell>
          <cell r="AJ73">
            <v>-55627776</v>
          </cell>
          <cell r="AK73">
            <v>5622200</v>
          </cell>
          <cell r="AL73" t="str">
            <v>Petty Cash Embalut</v>
          </cell>
          <cell r="AM73">
            <v>0</v>
          </cell>
        </row>
        <row r="74">
          <cell r="A74">
            <v>5622160</v>
          </cell>
          <cell r="B74" t="str">
            <v>Petty Cash Adaro</v>
          </cell>
          <cell r="C74">
            <v>29619032</v>
          </cell>
          <cell r="G74">
            <v>5622250</v>
          </cell>
          <cell r="H74" t="str">
            <v>Petty Cash Tj Lansat</v>
          </cell>
          <cell r="I74">
            <v>0</v>
          </cell>
          <cell r="J74">
            <v>5622350</v>
          </cell>
          <cell r="K74" t="str">
            <v>Petty Cash SungDanau</v>
          </cell>
          <cell r="L74">
            <v>28330000</v>
          </cell>
          <cell r="M74">
            <v>5622290</v>
          </cell>
          <cell r="N74" t="str">
            <v>PettyCash EmbalutRRP</v>
          </cell>
          <cell r="O74">
            <v>-80769249</v>
          </cell>
          <cell r="P74">
            <v>5622280</v>
          </cell>
          <cell r="Q74" t="str">
            <v>Petty Cash BLKPP PRJ</v>
          </cell>
          <cell r="R74">
            <v>855400</v>
          </cell>
          <cell r="S74">
            <v>5622280</v>
          </cell>
          <cell r="T74" t="str">
            <v>Petty Cash BLKPP PRJ</v>
          </cell>
          <cell r="U74">
            <v>0</v>
          </cell>
          <cell r="V74">
            <v>5622240</v>
          </cell>
          <cell r="W74" t="str">
            <v>Petty Cash LongLembu</v>
          </cell>
          <cell r="X74">
            <v>0</v>
          </cell>
          <cell r="Y74">
            <v>5622210</v>
          </cell>
          <cell r="Z74" t="str">
            <v>Petty Cash Malinau</v>
          </cell>
          <cell r="AA74">
            <v>47987110</v>
          </cell>
          <cell r="AB74">
            <v>5622220</v>
          </cell>
          <cell r="AC74" t="str">
            <v>Petty Cash LentengAg</v>
          </cell>
          <cell r="AD74">
            <v>-22993912</v>
          </cell>
          <cell r="AE74">
            <v>5622220</v>
          </cell>
          <cell r="AF74" t="str">
            <v>Petty Cash LentengAg</v>
          </cell>
          <cell r="AG74">
            <v>6232</v>
          </cell>
          <cell r="AH74">
            <v>5622210</v>
          </cell>
          <cell r="AI74" t="str">
            <v>Petty Cash Malinau</v>
          </cell>
          <cell r="AJ74">
            <v>-5500000</v>
          </cell>
          <cell r="AK74">
            <v>5622210</v>
          </cell>
          <cell r="AL74" t="str">
            <v>Petty Cash Malinau</v>
          </cell>
          <cell r="AM74">
            <v>0</v>
          </cell>
        </row>
        <row r="75">
          <cell r="A75">
            <v>5622170</v>
          </cell>
          <cell r="B75" t="str">
            <v>Petty Cash TJG Enim</v>
          </cell>
          <cell r="C75">
            <v>41655730</v>
          </cell>
          <cell r="G75">
            <v>5622280</v>
          </cell>
          <cell r="H75" t="str">
            <v>Petty Cash BLKPP PRJ</v>
          </cell>
          <cell r="I75">
            <v>0</v>
          </cell>
          <cell r="J75">
            <v>7111110</v>
          </cell>
          <cell r="K75" t="str">
            <v>Sales Revenue</v>
          </cell>
          <cell r="L75">
            <v>-19453151636</v>
          </cell>
          <cell r="M75">
            <v>5622300</v>
          </cell>
          <cell r="N75" t="str">
            <v>Petty Cash Jorong</v>
          </cell>
          <cell r="O75">
            <v>-17268175</v>
          </cell>
          <cell r="P75">
            <v>5622290</v>
          </cell>
          <cell r="Q75" t="str">
            <v>PettyCash EmbalutRRP</v>
          </cell>
          <cell r="R75">
            <v>10761757</v>
          </cell>
          <cell r="S75">
            <v>5622290</v>
          </cell>
          <cell r="T75" t="str">
            <v>PettyCash EmbalutRRP</v>
          </cell>
          <cell r="U75">
            <v>56487075</v>
          </cell>
          <cell r="V75">
            <v>5622280</v>
          </cell>
          <cell r="W75" t="str">
            <v>Petty Cash BLKPP PRJ</v>
          </cell>
          <cell r="X75">
            <v>572000</v>
          </cell>
          <cell r="Y75">
            <v>5622220</v>
          </cell>
          <cell r="Z75" t="str">
            <v>Petty Cash LentengAg</v>
          </cell>
          <cell r="AA75">
            <v>0</v>
          </cell>
          <cell r="AB75">
            <v>5622230</v>
          </cell>
          <cell r="AC75" t="str">
            <v>Petty Cash SMRD PRJ</v>
          </cell>
          <cell r="AD75">
            <v>-5324530</v>
          </cell>
          <cell r="AE75">
            <v>5622230</v>
          </cell>
          <cell r="AF75" t="str">
            <v>Petty Cash SMRD PRJ</v>
          </cell>
          <cell r="AG75">
            <v>-77980339</v>
          </cell>
          <cell r="AH75">
            <v>5622220</v>
          </cell>
          <cell r="AI75" t="str">
            <v>Petty Cash LentengAg</v>
          </cell>
          <cell r="AJ75">
            <v>0</v>
          </cell>
          <cell r="AK75">
            <v>5622220</v>
          </cell>
          <cell r="AL75" t="str">
            <v>Petty Cash LentengAg</v>
          </cell>
          <cell r="AM75">
            <v>0</v>
          </cell>
        </row>
        <row r="76">
          <cell r="A76">
            <v>5622180</v>
          </cell>
          <cell r="B76" t="str">
            <v>Petty Cash Melak II</v>
          </cell>
          <cell r="C76">
            <v>1295643</v>
          </cell>
          <cell r="G76">
            <v>5622290</v>
          </cell>
          <cell r="H76" t="str">
            <v>PettyCash EmbalutRRP</v>
          </cell>
          <cell r="I76">
            <v>73540000</v>
          </cell>
          <cell r="J76">
            <v>7211161</v>
          </cell>
          <cell r="K76" t="str">
            <v>Fuel Cost PV</v>
          </cell>
          <cell r="L76">
            <v>-19150640</v>
          </cell>
          <cell r="M76">
            <v>5622320</v>
          </cell>
          <cell r="N76" t="str">
            <v>Petty Cash Loa Janan</v>
          </cell>
          <cell r="O76">
            <v>35566143</v>
          </cell>
          <cell r="P76">
            <v>5622300</v>
          </cell>
          <cell r="Q76" t="str">
            <v>Petty Cash Jorong</v>
          </cell>
          <cell r="R76">
            <v>7027531</v>
          </cell>
          <cell r="S76">
            <v>5622300</v>
          </cell>
          <cell r="T76" t="str">
            <v>Petty Cash Jorong</v>
          </cell>
          <cell r="U76">
            <v>75163120</v>
          </cell>
          <cell r="V76">
            <v>5622290</v>
          </cell>
          <cell r="W76" t="str">
            <v>PettyCash EmbalutRRP</v>
          </cell>
          <cell r="X76">
            <v>65708667</v>
          </cell>
          <cell r="Y76">
            <v>5622230</v>
          </cell>
          <cell r="Z76" t="str">
            <v>Petty Cash SMRD PRJ</v>
          </cell>
          <cell r="AA76">
            <v>23055730</v>
          </cell>
          <cell r="AB76">
            <v>5622250</v>
          </cell>
          <cell r="AC76" t="str">
            <v>Petty Cash Tj Lansat</v>
          </cell>
          <cell r="AD76">
            <v>-8888653</v>
          </cell>
          <cell r="AE76">
            <v>5622250</v>
          </cell>
          <cell r="AF76" t="str">
            <v>Petty Cash Tj Lansat</v>
          </cell>
          <cell r="AG76">
            <v>1199253</v>
          </cell>
          <cell r="AH76">
            <v>5622230</v>
          </cell>
          <cell r="AI76" t="str">
            <v>Petty Cash SMRD PRJ</v>
          </cell>
          <cell r="AJ76">
            <v>43560000</v>
          </cell>
          <cell r="AK76">
            <v>5622230</v>
          </cell>
          <cell r="AL76" t="str">
            <v>Petty Cash SMRD PRJ</v>
          </cell>
          <cell r="AM76">
            <v>-127366492</v>
          </cell>
        </row>
        <row r="77">
          <cell r="A77">
            <v>5622190</v>
          </cell>
          <cell r="B77" t="str">
            <v>Petty Cash LongHub'g</v>
          </cell>
          <cell r="C77">
            <v>-3598050</v>
          </cell>
          <cell r="G77">
            <v>5622300</v>
          </cell>
          <cell r="H77" t="str">
            <v>Petty Cash Jorong</v>
          </cell>
          <cell r="I77">
            <v>36490000</v>
          </cell>
          <cell r="J77">
            <v>7211180</v>
          </cell>
          <cell r="K77" t="str">
            <v>COS Rental</v>
          </cell>
          <cell r="L77">
            <v>6086768140</v>
          </cell>
          <cell r="M77">
            <v>5622340</v>
          </cell>
          <cell r="N77" t="str">
            <v>Petty Cash BatuLicin</v>
          </cell>
          <cell r="O77">
            <v>25025528</v>
          </cell>
          <cell r="P77">
            <v>5622320</v>
          </cell>
          <cell r="Q77" t="str">
            <v>Petty Cash Loa Janan</v>
          </cell>
          <cell r="R77">
            <v>125599039</v>
          </cell>
          <cell r="S77">
            <v>5622320</v>
          </cell>
          <cell r="T77" t="str">
            <v>Petty Cash Loa Janan</v>
          </cell>
          <cell r="U77">
            <v>-3764388</v>
          </cell>
          <cell r="V77">
            <v>5622300</v>
          </cell>
          <cell r="W77" t="str">
            <v>Petty Cash Jorong</v>
          </cell>
          <cell r="X77">
            <v>-24574466</v>
          </cell>
          <cell r="Y77">
            <v>5622250</v>
          </cell>
          <cell r="Z77" t="str">
            <v>Petty Cash Tj Lansat</v>
          </cell>
          <cell r="AA77">
            <v>4000000</v>
          </cell>
          <cell r="AB77">
            <v>5622280</v>
          </cell>
          <cell r="AC77" t="str">
            <v>Petty Cash BLKPP PRJ</v>
          </cell>
          <cell r="AD77">
            <v>1597100</v>
          </cell>
          <cell r="AE77">
            <v>5622280</v>
          </cell>
          <cell r="AF77" t="str">
            <v>Petty Cash BLKPP PRJ</v>
          </cell>
          <cell r="AG77">
            <v>3485500</v>
          </cell>
          <cell r="AH77">
            <v>5622290</v>
          </cell>
          <cell r="AI77" t="str">
            <v>PettyCash EmbalutRRP</v>
          </cell>
          <cell r="AJ77">
            <v>-253622322</v>
          </cell>
          <cell r="AK77">
            <v>5622240</v>
          </cell>
          <cell r="AL77" t="str">
            <v>Petty Cash LongLembu</v>
          </cell>
          <cell r="AM77">
            <v>0</v>
          </cell>
        </row>
        <row r="78">
          <cell r="A78">
            <v>5622210</v>
          </cell>
          <cell r="B78" t="str">
            <v>Petty Cash Malinau</v>
          </cell>
          <cell r="C78">
            <v>7134287</v>
          </cell>
          <cell r="G78">
            <v>5622320</v>
          </cell>
          <cell r="H78" t="str">
            <v>Petty Cash Loa Janan</v>
          </cell>
          <cell r="I78">
            <v>123888100</v>
          </cell>
          <cell r="J78">
            <v>7211185</v>
          </cell>
          <cell r="K78" t="str">
            <v>COS Rental - Trk Chg</v>
          </cell>
          <cell r="L78">
            <v>596971097</v>
          </cell>
          <cell r="M78">
            <v>5622350</v>
          </cell>
          <cell r="N78" t="str">
            <v>Petty Cash SungDanau</v>
          </cell>
          <cell r="O78">
            <v>-26499345</v>
          </cell>
          <cell r="P78">
            <v>5622340</v>
          </cell>
          <cell r="Q78" t="str">
            <v>Petty Cash BatuLicin</v>
          </cell>
          <cell r="R78">
            <v>-4224911</v>
          </cell>
          <cell r="S78">
            <v>5622340</v>
          </cell>
          <cell r="T78" t="str">
            <v>Petty Cash BatuLicin</v>
          </cell>
          <cell r="U78">
            <v>229623158</v>
          </cell>
          <cell r="V78">
            <v>5622320</v>
          </cell>
          <cell r="W78" t="str">
            <v>Petty Cash Loa Janan</v>
          </cell>
          <cell r="X78">
            <v>143094561</v>
          </cell>
          <cell r="Y78">
            <v>5622280</v>
          </cell>
          <cell r="Z78" t="str">
            <v>Petty Cash BLKPP PRJ</v>
          </cell>
          <cell r="AA78">
            <v>0</v>
          </cell>
          <cell r="AB78">
            <v>5622290</v>
          </cell>
          <cell r="AC78" t="str">
            <v>PettyCash EmbalutRRP</v>
          </cell>
          <cell r="AD78">
            <v>-48723702</v>
          </cell>
          <cell r="AE78">
            <v>5622290</v>
          </cell>
          <cell r="AF78" t="str">
            <v>PettyCash EmbalutRRP</v>
          </cell>
          <cell r="AG78">
            <v>179175478</v>
          </cell>
          <cell r="AH78">
            <v>5622300</v>
          </cell>
          <cell r="AI78" t="str">
            <v>Petty Cash Jorong</v>
          </cell>
          <cell r="AJ78">
            <v>37926000</v>
          </cell>
          <cell r="AK78">
            <v>5622250</v>
          </cell>
          <cell r="AL78" t="str">
            <v>Petty Cash Tj Lansat</v>
          </cell>
          <cell r="AM78">
            <v>0</v>
          </cell>
        </row>
        <row r="79">
          <cell r="A79">
            <v>5622220</v>
          </cell>
          <cell r="B79" t="str">
            <v>Petty Cash LentengAg</v>
          </cell>
          <cell r="C79">
            <v>7884012</v>
          </cell>
          <cell r="G79">
            <v>5622340</v>
          </cell>
          <cell r="H79" t="str">
            <v>Petty Cash BatuLicin</v>
          </cell>
          <cell r="I79">
            <v>155000000</v>
          </cell>
          <cell r="J79">
            <v>7211200</v>
          </cell>
          <cell r="K79" t="str">
            <v>WIP COS</v>
          </cell>
          <cell r="L79">
            <v>-9447374713</v>
          </cell>
          <cell r="M79">
            <v>5622360</v>
          </cell>
          <cell r="N79" t="str">
            <v>Petty Cash Senoni</v>
          </cell>
          <cell r="O79">
            <v>29000000</v>
          </cell>
          <cell r="P79">
            <v>5622350</v>
          </cell>
          <cell r="Q79" t="str">
            <v>Petty Cash SungDanau</v>
          </cell>
          <cell r="R79">
            <v>-12093380</v>
          </cell>
          <cell r="S79">
            <v>5622350</v>
          </cell>
          <cell r="T79" t="str">
            <v>Petty Cash SungDanau</v>
          </cell>
          <cell r="U79">
            <v>-6743065</v>
          </cell>
          <cell r="V79">
            <v>5622340</v>
          </cell>
          <cell r="W79" t="str">
            <v>Petty Cash BatuLicin</v>
          </cell>
          <cell r="X79">
            <v>77845468</v>
          </cell>
          <cell r="Y79">
            <v>5622290</v>
          </cell>
          <cell r="Z79" t="str">
            <v>PettyCash EmbalutRRP</v>
          </cell>
          <cell r="AA79">
            <v>-71698051</v>
          </cell>
          <cell r="AB79">
            <v>5622300</v>
          </cell>
          <cell r="AC79" t="str">
            <v>Petty Cash Jorong</v>
          </cell>
          <cell r="AD79">
            <v>-5030475</v>
          </cell>
          <cell r="AE79">
            <v>5622300</v>
          </cell>
          <cell r="AF79" t="str">
            <v>Petty Cash Jorong</v>
          </cell>
          <cell r="AG79">
            <v>18427331</v>
          </cell>
          <cell r="AH79">
            <v>5622320</v>
          </cell>
          <cell r="AI79" t="str">
            <v>Petty Cash Loa Janan</v>
          </cell>
          <cell r="AJ79">
            <v>97209050</v>
          </cell>
          <cell r="AK79">
            <v>5622280</v>
          </cell>
          <cell r="AL79" t="str">
            <v>Petty Cash BLKPP PRJ</v>
          </cell>
          <cell r="AM79">
            <v>2947100</v>
          </cell>
        </row>
        <row r="80">
          <cell r="A80">
            <v>5622230</v>
          </cell>
          <cell r="B80" t="str">
            <v>Petty Cash SMRD PRJ</v>
          </cell>
          <cell r="C80">
            <v>5643663</v>
          </cell>
          <cell r="G80">
            <v>5622350</v>
          </cell>
          <cell r="H80" t="str">
            <v>Petty Cash SungDanau</v>
          </cell>
          <cell r="I80">
            <v>10120000</v>
          </cell>
          <cell r="J80">
            <v>7211260</v>
          </cell>
          <cell r="K80" t="str">
            <v>COS- Tyre Truck</v>
          </cell>
          <cell r="L80">
            <v>415932028</v>
          </cell>
          <cell r="M80">
            <v>5622370</v>
          </cell>
          <cell r="N80" t="str">
            <v>Petty Cash Logas Pkb</v>
          </cell>
          <cell r="O80">
            <v>239300000</v>
          </cell>
          <cell r="P80">
            <v>5622360</v>
          </cell>
          <cell r="Q80" t="str">
            <v>Petty Cash Senoni</v>
          </cell>
          <cell r="R80">
            <v>-22650</v>
          </cell>
          <cell r="S80">
            <v>5622360</v>
          </cell>
          <cell r="T80" t="str">
            <v>Petty Cash Senoni</v>
          </cell>
          <cell r="U80">
            <v>-22034750</v>
          </cell>
          <cell r="V80">
            <v>5622350</v>
          </cell>
          <cell r="W80" t="str">
            <v>Petty Cash SungDanau</v>
          </cell>
          <cell r="X80">
            <v>1701861</v>
          </cell>
          <cell r="Y80">
            <v>5622300</v>
          </cell>
          <cell r="Z80" t="str">
            <v>Petty Cash Jorong</v>
          </cell>
          <cell r="AA80">
            <v>41722228</v>
          </cell>
          <cell r="AB80">
            <v>5622320</v>
          </cell>
          <cell r="AC80" t="str">
            <v>Petty Cash Loa Janan</v>
          </cell>
          <cell r="AD80">
            <v>28414393</v>
          </cell>
          <cell r="AE80">
            <v>5622320</v>
          </cell>
          <cell r="AF80" t="str">
            <v>Petty Cash Loa Janan</v>
          </cell>
          <cell r="AG80">
            <v>-184154791</v>
          </cell>
          <cell r="AH80">
            <v>5622340</v>
          </cell>
          <cell r="AI80" t="str">
            <v>Petty Cash BatuLicin</v>
          </cell>
          <cell r="AJ80">
            <v>186384714</v>
          </cell>
          <cell r="AK80">
            <v>5622290</v>
          </cell>
          <cell r="AL80" t="str">
            <v>PettyCash EmbalutRRP</v>
          </cell>
          <cell r="AM80">
            <v>-85565110</v>
          </cell>
        </row>
        <row r="81">
          <cell r="A81">
            <v>5622240</v>
          </cell>
          <cell r="B81" t="str">
            <v>Petty Cash LongLembu</v>
          </cell>
          <cell r="C81">
            <v>-22300</v>
          </cell>
          <cell r="G81">
            <v>7111110</v>
          </cell>
          <cell r="H81" t="str">
            <v>Sales Revenue</v>
          </cell>
          <cell r="I81">
            <v>-17912711258</v>
          </cell>
          <cell r="J81">
            <v>7211990</v>
          </cell>
          <cell r="K81" t="str">
            <v>COS Other</v>
          </cell>
          <cell r="L81">
            <v>0</v>
          </cell>
          <cell r="M81">
            <v>7111110</v>
          </cell>
          <cell r="N81" t="str">
            <v>Sales Revenue</v>
          </cell>
          <cell r="O81">
            <v>-17128976027</v>
          </cell>
          <cell r="P81">
            <v>5622370</v>
          </cell>
          <cell r="Q81" t="str">
            <v>Petty Cash Logas Pkb</v>
          </cell>
          <cell r="R81">
            <v>-98846288</v>
          </cell>
          <cell r="S81">
            <v>5622370</v>
          </cell>
          <cell r="T81" t="str">
            <v>Petty Cash Logas Pkb</v>
          </cell>
          <cell r="U81">
            <v>388990240</v>
          </cell>
          <cell r="V81">
            <v>5622360</v>
          </cell>
          <cell r="W81" t="str">
            <v>Petty Cash Senoni</v>
          </cell>
          <cell r="X81">
            <v>12150017</v>
          </cell>
          <cell r="Y81">
            <v>5622320</v>
          </cell>
          <cell r="Z81" t="str">
            <v>Petty Cash Loa Janan</v>
          </cell>
          <cell r="AA81">
            <v>-33569153</v>
          </cell>
          <cell r="AB81">
            <v>5622340</v>
          </cell>
          <cell r="AC81" t="str">
            <v>Petty Cash BatuLicin</v>
          </cell>
          <cell r="AD81">
            <v>-100547803</v>
          </cell>
          <cell r="AE81">
            <v>5622330</v>
          </cell>
          <cell r="AF81" t="str">
            <v>Petty Cash Sangatta</v>
          </cell>
          <cell r="AG81">
            <v>0</v>
          </cell>
          <cell r="AH81">
            <v>5622350</v>
          </cell>
          <cell r="AI81" t="str">
            <v>Petty Cash SungDanau</v>
          </cell>
          <cell r="AJ81">
            <v>378600</v>
          </cell>
          <cell r="AK81">
            <v>5622300</v>
          </cell>
          <cell r="AL81" t="str">
            <v>Petty Cash Jorong</v>
          </cell>
          <cell r="AM81">
            <v>-100537073</v>
          </cell>
        </row>
        <row r="82">
          <cell r="A82">
            <v>5622250</v>
          </cell>
          <cell r="B82" t="str">
            <v>Petty Cash Tj Lansat</v>
          </cell>
          <cell r="C82">
            <v>-4754450</v>
          </cell>
          <cell r="G82">
            <v>7211161</v>
          </cell>
          <cell r="H82" t="str">
            <v>Fuel Cost PV</v>
          </cell>
          <cell r="I82">
            <v>4834213</v>
          </cell>
          <cell r="J82">
            <v>7331990</v>
          </cell>
          <cell r="K82" t="str">
            <v>SRE Other</v>
          </cell>
          <cell r="L82">
            <v>129241926</v>
          </cell>
          <cell r="M82">
            <v>7211161</v>
          </cell>
          <cell r="N82" t="str">
            <v>Fuel Cost PV</v>
          </cell>
          <cell r="O82">
            <v>-46077721</v>
          </cell>
          <cell r="P82">
            <v>7111110</v>
          </cell>
          <cell r="Q82" t="str">
            <v>Sales Revenue</v>
          </cell>
          <cell r="R82">
            <v>-25559342487</v>
          </cell>
          <cell r="S82">
            <v>5622380</v>
          </cell>
          <cell r="T82" t="str">
            <v>Petty Cash Bjmsn Dis</v>
          </cell>
          <cell r="U82">
            <v>10046000</v>
          </cell>
          <cell r="V82">
            <v>5622370</v>
          </cell>
          <cell r="W82" t="str">
            <v>Petty Cash Logas Pkb</v>
          </cell>
          <cell r="X82">
            <v>-354990054</v>
          </cell>
          <cell r="Y82">
            <v>5622340</v>
          </cell>
          <cell r="Z82" t="str">
            <v>Petty Cash BatuLicin</v>
          </cell>
          <cell r="AA82">
            <v>-294000960</v>
          </cell>
          <cell r="AB82">
            <v>5622350</v>
          </cell>
          <cell r="AC82" t="str">
            <v>Petty Cash SungDanau</v>
          </cell>
          <cell r="AD82">
            <v>1521900</v>
          </cell>
          <cell r="AE82">
            <v>5622340</v>
          </cell>
          <cell r="AF82" t="str">
            <v>Petty Cash BatuLicin</v>
          </cell>
          <cell r="AG82">
            <v>-141885951</v>
          </cell>
          <cell r="AH82">
            <v>5622360</v>
          </cell>
          <cell r="AI82" t="str">
            <v>Petty Cash Senoni</v>
          </cell>
          <cell r="AJ82">
            <v>55030000</v>
          </cell>
          <cell r="AK82">
            <v>5622320</v>
          </cell>
          <cell r="AL82" t="str">
            <v>Petty Cash Loa Janan</v>
          </cell>
          <cell r="AM82">
            <v>-532423593</v>
          </cell>
        </row>
        <row r="83">
          <cell r="A83">
            <v>5622270</v>
          </cell>
          <cell r="B83" t="str">
            <v>Petty Cash Sotek SMD</v>
          </cell>
          <cell r="C83">
            <v>-732745</v>
          </cell>
          <cell r="G83">
            <v>7211180</v>
          </cell>
          <cell r="H83" t="str">
            <v>COS Rental</v>
          </cell>
          <cell r="I83">
            <v>6173521059</v>
          </cell>
          <cell r="J83">
            <v>7411150</v>
          </cell>
          <cell r="K83" t="str">
            <v>SRE Parts Truck Exp</v>
          </cell>
          <cell r="L83">
            <v>0</v>
          </cell>
          <cell r="M83">
            <v>7211180</v>
          </cell>
          <cell r="N83" t="str">
            <v>COS Rental</v>
          </cell>
          <cell r="O83">
            <v>4700847908</v>
          </cell>
          <cell r="P83">
            <v>7211160</v>
          </cell>
          <cell r="Q83" t="str">
            <v>COS Price Var Incm</v>
          </cell>
          <cell r="R83">
            <v>-111860</v>
          </cell>
          <cell r="S83">
            <v>7111110</v>
          </cell>
          <cell r="T83" t="str">
            <v>Sales Revenue</v>
          </cell>
          <cell r="U83">
            <v>-28561706625</v>
          </cell>
          <cell r="V83">
            <v>5622380</v>
          </cell>
          <cell r="W83" t="str">
            <v>Petty Cash Bjmsn Dis</v>
          </cell>
          <cell r="X83">
            <v>-6355402</v>
          </cell>
          <cell r="Y83">
            <v>5622350</v>
          </cell>
          <cell r="Z83" t="str">
            <v>Petty Cash SungDanau</v>
          </cell>
          <cell r="AA83">
            <v>-666541</v>
          </cell>
          <cell r="AB83">
            <v>5622360</v>
          </cell>
          <cell r="AC83" t="str">
            <v>Petty Cash Senoni</v>
          </cell>
          <cell r="AD83">
            <v>754857</v>
          </cell>
          <cell r="AE83">
            <v>5622350</v>
          </cell>
          <cell r="AF83" t="str">
            <v>Petty Cash SungDanau</v>
          </cell>
          <cell r="AG83">
            <v>10762800</v>
          </cell>
          <cell r="AH83">
            <v>5622370</v>
          </cell>
          <cell r="AI83" t="str">
            <v>Petty Cash Logas Pkb</v>
          </cell>
          <cell r="AJ83">
            <v>314082990</v>
          </cell>
          <cell r="AK83">
            <v>5622340</v>
          </cell>
          <cell r="AL83" t="str">
            <v>Petty Cash BatuLicin</v>
          </cell>
          <cell r="AM83">
            <v>-230731598</v>
          </cell>
        </row>
        <row r="84">
          <cell r="A84">
            <v>5622280</v>
          </cell>
          <cell r="B84" t="str">
            <v>Petty Cash BLKPP PRJ</v>
          </cell>
          <cell r="C84">
            <v>-2279879</v>
          </cell>
          <cell r="G84">
            <v>7211185</v>
          </cell>
          <cell r="H84" t="str">
            <v>COS Rental - Trk Chg</v>
          </cell>
          <cell r="I84">
            <v>552312677</v>
          </cell>
          <cell r="J84">
            <v>7411190</v>
          </cell>
          <cell r="K84" t="str">
            <v>SRE Parts Delvr. Exp</v>
          </cell>
          <cell r="L84">
            <v>124270565</v>
          </cell>
          <cell r="M84">
            <v>7211185</v>
          </cell>
          <cell r="N84" t="str">
            <v>COS Rental - Trk Chg</v>
          </cell>
          <cell r="O84">
            <v>411500400</v>
          </cell>
          <cell r="P84">
            <v>7211161</v>
          </cell>
          <cell r="Q84" t="str">
            <v>Fuel Cost PV</v>
          </cell>
          <cell r="R84">
            <v>-60604396</v>
          </cell>
          <cell r="S84">
            <v>7211111</v>
          </cell>
          <cell r="T84" t="str">
            <v>COS - IVECO Truck</v>
          </cell>
          <cell r="U84">
            <v>0</v>
          </cell>
          <cell r="V84">
            <v>7111110</v>
          </cell>
          <cell r="W84" t="str">
            <v>Sales Revenue</v>
          </cell>
          <cell r="X84">
            <v>-29330149542</v>
          </cell>
          <cell r="Y84">
            <v>5622360</v>
          </cell>
          <cell r="Z84" t="str">
            <v>Petty Cash Senoni</v>
          </cell>
          <cell r="AA84">
            <v>-1667550</v>
          </cell>
          <cell r="AB84">
            <v>5622370</v>
          </cell>
          <cell r="AC84" t="str">
            <v>Petty Cash Logas Pkb</v>
          </cell>
          <cell r="AD84">
            <v>246041444</v>
          </cell>
          <cell r="AE84">
            <v>5622360</v>
          </cell>
          <cell r="AF84" t="str">
            <v>Petty Cash Senoni</v>
          </cell>
          <cell r="AG84">
            <v>1646790</v>
          </cell>
          <cell r="AH84">
            <v>5622380</v>
          </cell>
          <cell r="AI84" t="str">
            <v>Petty Cash Bjmsn Dis</v>
          </cell>
          <cell r="AJ84">
            <v>752700</v>
          </cell>
          <cell r="AK84">
            <v>5622350</v>
          </cell>
          <cell r="AL84" t="str">
            <v>Petty Cash SungDanau</v>
          </cell>
          <cell r="AM84">
            <v>-16037282</v>
          </cell>
        </row>
        <row r="85">
          <cell r="A85">
            <v>5622290</v>
          </cell>
          <cell r="B85" t="str">
            <v>PettyCash EmbalutRRP</v>
          </cell>
          <cell r="C85">
            <v>183763886</v>
          </cell>
          <cell r="G85">
            <v>7211200</v>
          </cell>
          <cell r="H85" t="str">
            <v>WIP COS</v>
          </cell>
          <cell r="I85">
            <v>2354194885</v>
          </cell>
          <cell r="J85">
            <v>7411200</v>
          </cell>
          <cell r="K85" t="str">
            <v>SRE Pts Misc</v>
          </cell>
          <cell r="L85">
            <v>66194474</v>
          </cell>
          <cell r="M85">
            <v>7211200</v>
          </cell>
          <cell r="N85" t="str">
            <v>WIP COS</v>
          </cell>
          <cell r="O85">
            <v>-12414618516</v>
          </cell>
          <cell r="P85">
            <v>7211180</v>
          </cell>
          <cell r="Q85" t="str">
            <v>COS Rental</v>
          </cell>
          <cell r="R85">
            <v>5209652024</v>
          </cell>
          <cell r="S85">
            <v>7211161</v>
          </cell>
          <cell r="T85" t="str">
            <v>Fuel Cost PV</v>
          </cell>
          <cell r="U85">
            <v>-78824485</v>
          </cell>
          <cell r="V85">
            <v>7211160</v>
          </cell>
          <cell r="W85" t="str">
            <v>COS Price Var Incm</v>
          </cell>
          <cell r="X85">
            <v>46340950</v>
          </cell>
          <cell r="Y85">
            <v>5622370</v>
          </cell>
          <cell r="Z85" t="str">
            <v>Petty Cash Logas Pkb</v>
          </cell>
          <cell r="AA85">
            <v>29770164</v>
          </cell>
          <cell r="AB85">
            <v>5622380</v>
          </cell>
          <cell r="AC85" t="str">
            <v>Petty Cash Bjmsn Dis</v>
          </cell>
          <cell r="AD85">
            <v>-6143169</v>
          </cell>
          <cell r="AE85">
            <v>5622370</v>
          </cell>
          <cell r="AF85" t="str">
            <v>Petty Cash Logas Pkb</v>
          </cell>
          <cell r="AG85">
            <v>136336527</v>
          </cell>
          <cell r="AH85">
            <v>7111110</v>
          </cell>
          <cell r="AI85" t="str">
            <v>Sales Revenue</v>
          </cell>
          <cell r="AJ85">
            <v>-43583758023</v>
          </cell>
          <cell r="AK85">
            <v>5622360</v>
          </cell>
          <cell r="AL85" t="str">
            <v>Petty Cash Senoni</v>
          </cell>
          <cell r="AM85">
            <v>6837492</v>
          </cell>
        </row>
        <row r="86">
          <cell r="A86">
            <v>5622300</v>
          </cell>
          <cell r="B86" t="str">
            <v>Petty Cash Jorong</v>
          </cell>
          <cell r="C86">
            <v>40776939</v>
          </cell>
          <cell r="G86">
            <v>7211990</v>
          </cell>
          <cell r="H86" t="str">
            <v>COS Other</v>
          </cell>
          <cell r="I86">
            <v>17785830</v>
          </cell>
          <cell r="J86">
            <v>7411240</v>
          </cell>
          <cell r="K86" t="str">
            <v>Semi finished cons</v>
          </cell>
          <cell r="L86">
            <v>0</v>
          </cell>
          <cell r="M86">
            <v>7211250</v>
          </cell>
          <cell r="N86" t="str">
            <v>COS- Site Estabmnt</v>
          </cell>
          <cell r="O86">
            <v>512225454</v>
          </cell>
          <cell r="P86">
            <v>7211185</v>
          </cell>
          <cell r="Q86" t="str">
            <v>COS Rental - Trk Chg</v>
          </cell>
          <cell r="R86">
            <v>0</v>
          </cell>
          <cell r="S86">
            <v>7211180</v>
          </cell>
          <cell r="T86" t="str">
            <v>COS Rental</v>
          </cell>
          <cell r="U86">
            <v>4976102050</v>
          </cell>
          <cell r="V86">
            <v>7211161</v>
          </cell>
          <cell r="W86" t="str">
            <v>Fuel Cost PV</v>
          </cell>
          <cell r="X86">
            <v>-92283345</v>
          </cell>
          <cell r="Y86">
            <v>5622380</v>
          </cell>
          <cell r="Z86" t="str">
            <v>Petty Cash Bjmsn Dis</v>
          </cell>
          <cell r="AA86">
            <v>10962794</v>
          </cell>
          <cell r="AB86">
            <v>7111110</v>
          </cell>
          <cell r="AC86" t="str">
            <v>Sales Revenue</v>
          </cell>
          <cell r="AD86">
            <v>-40837449452</v>
          </cell>
          <cell r="AE86">
            <v>5622380</v>
          </cell>
          <cell r="AF86" t="str">
            <v>Petty Cash Bjmsn Dis</v>
          </cell>
          <cell r="AG86">
            <v>-2851500</v>
          </cell>
          <cell r="AH86">
            <v>7211160</v>
          </cell>
          <cell r="AI86" t="str">
            <v>COS Price Var Incm</v>
          </cell>
          <cell r="AJ86">
            <v>0</v>
          </cell>
          <cell r="AK86">
            <v>5622370</v>
          </cell>
          <cell r="AL86" t="str">
            <v>Petty Cash Logas Pkb</v>
          </cell>
          <cell r="AM86">
            <v>34610552</v>
          </cell>
        </row>
        <row r="87">
          <cell r="A87">
            <v>5622320</v>
          </cell>
          <cell r="B87" t="str">
            <v>Petty Cash Loa Janan</v>
          </cell>
          <cell r="C87">
            <v>93595831</v>
          </cell>
          <cell r="G87">
            <v>7331990</v>
          </cell>
          <cell r="H87" t="str">
            <v>SRE Other</v>
          </cell>
          <cell r="I87">
            <v>24291449</v>
          </cell>
          <cell r="J87">
            <v>7411250</v>
          </cell>
          <cell r="K87" t="str">
            <v>Material Consumed</v>
          </cell>
          <cell r="L87">
            <v>833212497</v>
          </cell>
          <cell r="M87">
            <v>7211251</v>
          </cell>
          <cell r="N87" t="str">
            <v>COS- Site Estab Recv</v>
          </cell>
          <cell r="O87">
            <v>-512225454</v>
          </cell>
          <cell r="P87">
            <v>7211200</v>
          </cell>
          <cell r="Q87" t="str">
            <v>WIP COS</v>
          </cell>
          <cell r="R87">
            <v>1687565118</v>
          </cell>
          <cell r="S87">
            <v>7211185</v>
          </cell>
          <cell r="T87" t="str">
            <v>COS Rental - Trk Chg</v>
          </cell>
          <cell r="U87">
            <v>0</v>
          </cell>
          <cell r="V87">
            <v>7211180</v>
          </cell>
          <cell r="W87" t="str">
            <v>COS Rental</v>
          </cell>
          <cell r="X87">
            <v>5329449037</v>
          </cell>
          <cell r="Y87">
            <v>7111110</v>
          </cell>
          <cell r="Z87" t="str">
            <v>Sales Revenue</v>
          </cell>
          <cell r="AA87">
            <v>-36133039372</v>
          </cell>
          <cell r="AB87">
            <v>7211160</v>
          </cell>
          <cell r="AC87" t="str">
            <v>COS Price Var Incm</v>
          </cell>
          <cell r="AD87">
            <v>0</v>
          </cell>
          <cell r="AE87">
            <v>7111110</v>
          </cell>
          <cell r="AF87" t="str">
            <v>Sales Revenue</v>
          </cell>
          <cell r="AG87">
            <v>-36155288935</v>
          </cell>
          <cell r="AH87">
            <v>7211161</v>
          </cell>
          <cell r="AI87" t="str">
            <v>Fuel Cost PV</v>
          </cell>
          <cell r="AJ87">
            <v>-83167397</v>
          </cell>
          <cell r="AK87">
            <v>5622380</v>
          </cell>
          <cell r="AL87" t="str">
            <v>Petty Cash Bjmsn Dis</v>
          </cell>
          <cell r="AM87">
            <v>-9213330</v>
          </cell>
        </row>
        <row r="88">
          <cell r="A88">
            <v>5622330</v>
          </cell>
          <cell r="B88" t="str">
            <v>Petty Cash Sangatta</v>
          </cell>
          <cell r="C88">
            <v>3000000</v>
          </cell>
          <cell r="G88">
            <v>7411190</v>
          </cell>
          <cell r="H88" t="str">
            <v>SRE Parts Delvr. Exp</v>
          </cell>
          <cell r="I88">
            <v>13170500</v>
          </cell>
          <cell r="J88">
            <v>7411251</v>
          </cell>
          <cell r="K88" t="str">
            <v>Tyre CAT</v>
          </cell>
          <cell r="L88">
            <v>21845000</v>
          </cell>
          <cell r="M88">
            <v>7211260</v>
          </cell>
          <cell r="N88" t="str">
            <v>COS- Tyre Truck</v>
          </cell>
          <cell r="O88">
            <v>469824587</v>
          </cell>
          <cell r="P88">
            <v>7211250</v>
          </cell>
          <cell r="Q88" t="str">
            <v>COS- Site Estabmnt</v>
          </cell>
          <cell r="R88">
            <v>190157684</v>
          </cell>
          <cell r="S88">
            <v>7211200</v>
          </cell>
          <cell r="T88" t="str">
            <v>WIP COS</v>
          </cell>
          <cell r="U88">
            <v>-7618206986</v>
          </cell>
          <cell r="V88">
            <v>7211185</v>
          </cell>
          <cell r="W88" t="str">
            <v>COS Rental - Trk Chg</v>
          </cell>
          <cell r="X88">
            <v>1209112872</v>
          </cell>
          <cell r="Y88">
            <v>7211160</v>
          </cell>
          <cell r="Z88" t="str">
            <v>COS Price Var Incm</v>
          </cell>
          <cell r="AA88">
            <v>0</v>
          </cell>
          <cell r="AB88">
            <v>7211161</v>
          </cell>
          <cell r="AC88" t="str">
            <v>Fuel Cost PV</v>
          </cell>
          <cell r="AD88">
            <v>780452891</v>
          </cell>
          <cell r="AE88">
            <v>7211160</v>
          </cell>
          <cell r="AF88" t="str">
            <v>COS Price Var Incm</v>
          </cell>
          <cell r="AG88">
            <v>-278770</v>
          </cell>
          <cell r="AH88">
            <v>7211180</v>
          </cell>
          <cell r="AI88" t="str">
            <v>COS Rental</v>
          </cell>
          <cell r="AJ88">
            <v>6285691690</v>
          </cell>
          <cell r="AK88">
            <v>7111110</v>
          </cell>
          <cell r="AL88" t="str">
            <v>Sales Revenue</v>
          </cell>
          <cell r="AM88">
            <v>-32509486597</v>
          </cell>
        </row>
        <row r="89">
          <cell r="A89">
            <v>5622340</v>
          </cell>
          <cell r="B89" t="str">
            <v>Petty Cash BatuLicin</v>
          </cell>
          <cell r="C89">
            <v>10332323</v>
          </cell>
          <cell r="G89">
            <v>7411200</v>
          </cell>
          <cell r="H89" t="str">
            <v>SRE Pts Misc</v>
          </cell>
          <cell r="I89">
            <v>25965951</v>
          </cell>
          <cell r="J89">
            <v>7411252</v>
          </cell>
          <cell r="K89" t="str">
            <v>GET</v>
          </cell>
          <cell r="L89">
            <v>38530710</v>
          </cell>
          <cell r="M89">
            <v>7211990</v>
          </cell>
          <cell r="N89" t="str">
            <v>COS Other</v>
          </cell>
          <cell r="O89">
            <v>0</v>
          </cell>
          <cell r="P89">
            <v>7211251</v>
          </cell>
          <cell r="Q89" t="str">
            <v>COS- Site Estab Recv</v>
          </cell>
          <cell r="R89">
            <v>-190157684</v>
          </cell>
          <cell r="S89">
            <v>7211990</v>
          </cell>
          <cell r="T89" t="str">
            <v>COS Other</v>
          </cell>
          <cell r="U89">
            <v>0</v>
          </cell>
          <cell r="V89">
            <v>7211200</v>
          </cell>
          <cell r="W89" t="str">
            <v>WIP COS</v>
          </cell>
          <cell r="X89">
            <v>5223749372</v>
          </cell>
          <cell r="Y89">
            <v>7211161</v>
          </cell>
          <cell r="Z89" t="str">
            <v>Fuel Cost PV</v>
          </cell>
          <cell r="AA89">
            <v>-955090406</v>
          </cell>
          <cell r="AB89">
            <v>7211180</v>
          </cell>
          <cell r="AC89" t="str">
            <v>COS Rental</v>
          </cell>
          <cell r="AD89">
            <v>4805080132</v>
          </cell>
          <cell r="AE89">
            <v>7211161</v>
          </cell>
          <cell r="AF89" t="str">
            <v>Fuel Cost PV</v>
          </cell>
          <cell r="AG89">
            <v>-80711527</v>
          </cell>
          <cell r="AH89">
            <v>7211185</v>
          </cell>
          <cell r="AI89" t="str">
            <v>COS Rental - Trk Chg</v>
          </cell>
          <cell r="AJ89">
            <v>399672720</v>
          </cell>
          <cell r="AK89">
            <v>7211110</v>
          </cell>
          <cell r="AL89" t="str">
            <v>Cost of Sales</v>
          </cell>
          <cell r="AM89">
            <v>0</v>
          </cell>
        </row>
        <row r="90">
          <cell r="A90">
            <v>5622350</v>
          </cell>
          <cell r="B90" t="str">
            <v>Petty Cash SungDanau</v>
          </cell>
          <cell r="C90">
            <v>-481450</v>
          </cell>
          <cell r="G90">
            <v>7411240</v>
          </cell>
          <cell r="H90" t="str">
            <v>Semi finished cons</v>
          </cell>
          <cell r="I90">
            <v>55998050</v>
          </cell>
          <cell r="J90">
            <v>7411253</v>
          </cell>
          <cell r="K90" t="str">
            <v>Oil</v>
          </cell>
          <cell r="L90">
            <v>464830781</v>
          </cell>
          <cell r="M90">
            <v>7331990</v>
          </cell>
          <cell r="N90" t="str">
            <v>SRE Other</v>
          </cell>
          <cell r="O90">
            <v>70954766</v>
          </cell>
          <cell r="P90">
            <v>7211260</v>
          </cell>
          <cell r="Q90" t="str">
            <v>COS- Tyre Truck</v>
          </cell>
          <cell r="R90">
            <v>900213127</v>
          </cell>
          <cell r="S90">
            <v>7331990</v>
          </cell>
          <cell r="T90" t="str">
            <v>SRE Other</v>
          </cell>
          <cell r="U90">
            <v>116478062</v>
          </cell>
          <cell r="V90">
            <v>7211250</v>
          </cell>
          <cell r="W90" t="str">
            <v>COS- Site Estabmnt</v>
          </cell>
          <cell r="X90">
            <v>279818182</v>
          </cell>
          <cell r="Y90">
            <v>7211180</v>
          </cell>
          <cell r="Z90" t="str">
            <v>COS Rental</v>
          </cell>
          <cell r="AA90">
            <v>5241208446</v>
          </cell>
          <cell r="AB90">
            <v>7211185</v>
          </cell>
          <cell r="AC90" t="str">
            <v>COS Rental - Trk Chg</v>
          </cell>
          <cell r="AD90">
            <v>390737802</v>
          </cell>
          <cell r="AE90">
            <v>7211180</v>
          </cell>
          <cell r="AF90" t="str">
            <v>COS Rental</v>
          </cell>
          <cell r="AG90">
            <v>5621957144</v>
          </cell>
          <cell r="AH90">
            <v>7211200</v>
          </cell>
          <cell r="AI90" t="str">
            <v>WIP COS</v>
          </cell>
          <cell r="AJ90">
            <v>-4362210094</v>
          </cell>
          <cell r="AK90">
            <v>7211160</v>
          </cell>
          <cell r="AL90" t="str">
            <v>COS Price Var Incm</v>
          </cell>
          <cell r="AM90">
            <v>0</v>
          </cell>
        </row>
        <row r="91">
          <cell r="A91">
            <v>7111110</v>
          </cell>
          <cell r="B91" t="str">
            <v>Sales Revenue</v>
          </cell>
          <cell r="C91">
            <v>-299775840418</v>
          </cell>
          <cell r="G91">
            <v>7411250</v>
          </cell>
          <cell r="H91" t="str">
            <v>Material Consumed</v>
          </cell>
          <cell r="I91">
            <v>2254967500</v>
          </cell>
          <cell r="J91">
            <v>7411254</v>
          </cell>
          <cell r="K91" t="str">
            <v>Grease</v>
          </cell>
          <cell r="L91">
            <v>6677490</v>
          </cell>
          <cell r="M91">
            <v>7411130</v>
          </cell>
          <cell r="N91" t="str">
            <v>SRE Parts D/T Sea-Rd</v>
          </cell>
          <cell r="O91">
            <v>0</v>
          </cell>
          <cell r="P91">
            <v>7211990</v>
          </cell>
          <cell r="Q91" t="str">
            <v>COS Other</v>
          </cell>
          <cell r="R91">
            <v>0</v>
          </cell>
          <cell r="S91">
            <v>7411110</v>
          </cell>
          <cell r="T91" t="str">
            <v>SRE Parts Supp Int.</v>
          </cell>
          <cell r="U91">
            <v>0</v>
          </cell>
          <cell r="V91">
            <v>7211251</v>
          </cell>
          <cell r="W91" t="str">
            <v>COS- Site Estab Recv</v>
          </cell>
          <cell r="X91">
            <v>-279818182</v>
          </cell>
          <cell r="Y91">
            <v>7211185</v>
          </cell>
          <cell r="Z91" t="str">
            <v>COS Rental - Trk Chg</v>
          </cell>
          <cell r="AA91">
            <v>395389208</v>
          </cell>
          <cell r="AB91">
            <v>7211200</v>
          </cell>
          <cell r="AC91" t="str">
            <v>WIP COS</v>
          </cell>
          <cell r="AD91">
            <v>11000708876</v>
          </cell>
          <cell r="AE91">
            <v>7211185</v>
          </cell>
          <cell r="AF91" t="str">
            <v>COS Rental - Trk Chg</v>
          </cell>
          <cell r="AG91">
            <v>450186838</v>
          </cell>
          <cell r="AH91">
            <v>7211260</v>
          </cell>
          <cell r="AI91" t="str">
            <v>COS- Tyre Truck</v>
          </cell>
          <cell r="AJ91">
            <v>353873075</v>
          </cell>
          <cell r="AK91">
            <v>7211161</v>
          </cell>
          <cell r="AL91" t="str">
            <v>Fuel Cost PV</v>
          </cell>
          <cell r="AM91">
            <v>-55147808</v>
          </cell>
        </row>
        <row r="92">
          <cell r="A92">
            <v>7211110</v>
          </cell>
          <cell r="B92" t="str">
            <v>Cost of Sales</v>
          </cell>
          <cell r="C92">
            <v>0</v>
          </cell>
          <cell r="G92">
            <v>7411251</v>
          </cell>
          <cell r="H92" t="str">
            <v>Tyre CAT</v>
          </cell>
          <cell r="I92">
            <v>16990000</v>
          </cell>
          <cell r="J92">
            <v>7411256</v>
          </cell>
          <cell r="K92" t="str">
            <v>Petrol</v>
          </cell>
          <cell r="L92">
            <v>942932</v>
          </cell>
          <cell r="M92">
            <v>7411150</v>
          </cell>
          <cell r="N92" t="str">
            <v>SRE Parts Truck Exp</v>
          </cell>
          <cell r="O92">
            <v>895000</v>
          </cell>
          <cell r="P92">
            <v>7331990</v>
          </cell>
          <cell r="Q92" t="str">
            <v>SRE Other</v>
          </cell>
          <cell r="R92">
            <v>130439950</v>
          </cell>
          <cell r="S92">
            <v>7411150</v>
          </cell>
          <cell r="T92" t="str">
            <v>SRE Parts Truck Exp</v>
          </cell>
          <cell r="U92">
            <v>0</v>
          </cell>
          <cell r="V92">
            <v>7211260</v>
          </cell>
          <cell r="W92" t="str">
            <v>COS- Tyre Truck</v>
          </cell>
          <cell r="X92">
            <v>696484124</v>
          </cell>
          <cell r="Y92">
            <v>7211200</v>
          </cell>
          <cell r="Z92" t="str">
            <v>WIP COS</v>
          </cell>
          <cell r="AA92">
            <v>-8742174254</v>
          </cell>
          <cell r="AB92">
            <v>7211250</v>
          </cell>
          <cell r="AC92" t="str">
            <v>COS- Site Estabmnt</v>
          </cell>
          <cell r="AD92">
            <v>38870316</v>
          </cell>
          <cell r="AE92">
            <v>7211200</v>
          </cell>
          <cell r="AF92" t="str">
            <v>WIP COS</v>
          </cell>
          <cell r="AG92">
            <v>557410177</v>
          </cell>
          <cell r="AH92">
            <v>7211990</v>
          </cell>
          <cell r="AI92" t="str">
            <v>COS Other</v>
          </cell>
          <cell r="AJ92">
            <v>0</v>
          </cell>
          <cell r="AK92">
            <v>7211180</v>
          </cell>
          <cell r="AL92" t="str">
            <v>COS Rental</v>
          </cell>
          <cell r="AM92">
            <v>6063072423</v>
          </cell>
        </row>
        <row r="93">
          <cell r="A93">
            <v>7211111</v>
          </cell>
          <cell r="B93" t="str">
            <v>COS - IVECO Truck</v>
          </cell>
          <cell r="C93">
            <v>136749000</v>
          </cell>
          <cell r="G93">
            <v>7411252</v>
          </cell>
          <cell r="H93" t="str">
            <v>GET</v>
          </cell>
          <cell r="I93">
            <v>63400600</v>
          </cell>
          <cell r="J93">
            <v>7411257</v>
          </cell>
          <cell r="K93" t="str">
            <v>Bucket and Blade</v>
          </cell>
          <cell r="L93">
            <v>498420</v>
          </cell>
          <cell r="M93">
            <v>7411190</v>
          </cell>
          <cell r="N93" t="str">
            <v>SRE Parts Delvr. Exp</v>
          </cell>
          <cell r="O93">
            <v>9591540</v>
          </cell>
          <cell r="P93">
            <v>7411190</v>
          </cell>
          <cell r="Q93" t="str">
            <v>SRE Parts Delvr. Exp</v>
          </cell>
          <cell r="R93">
            <v>25400250</v>
          </cell>
          <cell r="S93">
            <v>7411190</v>
          </cell>
          <cell r="T93" t="str">
            <v>SRE Parts Delvr. Exp</v>
          </cell>
          <cell r="U93">
            <v>82981000</v>
          </cell>
          <cell r="V93">
            <v>7211990</v>
          </cell>
          <cell r="W93" t="str">
            <v>COS Other</v>
          </cell>
          <cell r="X93">
            <v>0</v>
          </cell>
          <cell r="Y93">
            <v>7211250</v>
          </cell>
          <cell r="Z93" t="str">
            <v>COS- Site Estabmnt</v>
          </cell>
          <cell r="AA93">
            <v>244320000</v>
          </cell>
          <cell r="AB93">
            <v>7211251</v>
          </cell>
          <cell r="AC93" t="str">
            <v>COS- Site Estab Recv</v>
          </cell>
          <cell r="AD93">
            <v>-38870316</v>
          </cell>
          <cell r="AE93">
            <v>7211260</v>
          </cell>
          <cell r="AF93" t="str">
            <v>COS- Tyre Truck</v>
          </cell>
          <cell r="AG93">
            <v>1020445673</v>
          </cell>
          <cell r="AH93">
            <v>7331990</v>
          </cell>
          <cell r="AI93" t="str">
            <v>SRE Other</v>
          </cell>
          <cell r="AJ93">
            <v>103582000</v>
          </cell>
          <cell r="AK93">
            <v>7211185</v>
          </cell>
          <cell r="AL93" t="str">
            <v>COS Rental - Trk Chg</v>
          </cell>
          <cell r="AM93">
            <v>731426649</v>
          </cell>
        </row>
        <row r="94">
          <cell r="A94">
            <v>7211160</v>
          </cell>
          <cell r="B94" t="str">
            <v>COS Price Var Incm</v>
          </cell>
          <cell r="C94">
            <v>-19744190</v>
          </cell>
          <cell r="G94">
            <v>7411253</v>
          </cell>
          <cell r="H94" t="str">
            <v>Oil</v>
          </cell>
          <cell r="I94">
            <v>149313100</v>
          </cell>
          <cell r="J94">
            <v>7411258</v>
          </cell>
          <cell r="K94" t="str">
            <v>Undercarriage</v>
          </cell>
          <cell r="L94">
            <v>215953600</v>
          </cell>
          <cell r="M94">
            <v>7411200</v>
          </cell>
          <cell r="N94" t="str">
            <v>SRE Pts Misc</v>
          </cell>
          <cell r="O94">
            <v>107351725</v>
          </cell>
          <cell r="P94">
            <v>7411200</v>
          </cell>
          <cell r="Q94" t="str">
            <v>SRE Pts Misc</v>
          </cell>
          <cell r="R94">
            <v>13148209</v>
          </cell>
          <cell r="S94">
            <v>7411200</v>
          </cell>
          <cell r="T94" t="str">
            <v>SRE Pts Misc</v>
          </cell>
          <cell r="U94">
            <v>145649167</v>
          </cell>
          <cell r="V94">
            <v>7331990</v>
          </cell>
          <cell r="W94" t="str">
            <v>SRE Other</v>
          </cell>
          <cell r="X94">
            <v>86524000</v>
          </cell>
          <cell r="Y94">
            <v>7211251</v>
          </cell>
          <cell r="Z94" t="str">
            <v>COS- Site Estab Recv</v>
          </cell>
          <cell r="AA94">
            <v>-244320000</v>
          </cell>
          <cell r="AB94">
            <v>7211990</v>
          </cell>
          <cell r="AC94" t="str">
            <v>COS Other</v>
          </cell>
          <cell r="AD94">
            <v>0</v>
          </cell>
          <cell r="AE94">
            <v>7211990</v>
          </cell>
          <cell r="AF94" t="str">
            <v>COS Other</v>
          </cell>
          <cell r="AG94">
            <v>0</v>
          </cell>
          <cell r="AH94">
            <v>7411110</v>
          </cell>
          <cell r="AI94" t="str">
            <v>SRE Parts Supp Int.</v>
          </cell>
          <cell r="AJ94">
            <v>0</v>
          </cell>
          <cell r="AK94">
            <v>7211200</v>
          </cell>
          <cell r="AL94" t="str">
            <v>WIP COS</v>
          </cell>
          <cell r="AM94">
            <v>-29531720297</v>
          </cell>
        </row>
        <row r="95">
          <cell r="A95">
            <v>7211180</v>
          </cell>
          <cell r="B95" t="str">
            <v>COS Rental</v>
          </cell>
          <cell r="C95">
            <v>78868501975</v>
          </cell>
          <cell r="G95">
            <v>7411254</v>
          </cell>
          <cell r="H95" t="str">
            <v>Grease</v>
          </cell>
          <cell r="I95">
            <v>48277350</v>
          </cell>
          <cell r="J95">
            <v>7411259</v>
          </cell>
          <cell r="K95" t="str">
            <v>PE Component</v>
          </cell>
          <cell r="L95">
            <v>23812140</v>
          </cell>
          <cell r="M95">
            <v>7411240</v>
          </cell>
          <cell r="N95" t="str">
            <v>Semi finished cons</v>
          </cell>
          <cell r="O95">
            <v>1884370</v>
          </cell>
          <cell r="P95">
            <v>7411240</v>
          </cell>
          <cell r="Q95" t="str">
            <v>Semi finished cons</v>
          </cell>
          <cell r="R95">
            <v>0</v>
          </cell>
          <cell r="S95">
            <v>7411240</v>
          </cell>
          <cell r="T95" t="str">
            <v>Semi finished cons</v>
          </cell>
          <cell r="U95">
            <v>0</v>
          </cell>
          <cell r="V95">
            <v>7411150</v>
          </cell>
          <cell r="W95" t="str">
            <v>SRE Parts Truck Exp</v>
          </cell>
          <cell r="X95">
            <v>0</v>
          </cell>
          <cell r="Y95">
            <v>7211990</v>
          </cell>
          <cell r="Z95" t="str">
            <v>COS Other</v>
          </cell>
          <cell r="AA95">
            <v>0</v>
          </cell>
          <cell r="AB95">
            <v>7331990</v>
          </cell>
          <cell r="AC95" t="str">
            <v>SRE Other</v>
          </cell>
          <cell r="AD95">
            <v>57982880</v>
          </cell>
          <cell r="AE95">
            <v>7331990</v>
          </cell>
          <cell r="AF95" t="str">
            <v>SRE Other</v>
          </cell>
          <cell r="AG95">
            <v>125946274</v>
          </cell>
          <cell r="AH95">
            <v>7411150</v>
          </cell>
          <cell r="AI95" t="str">
            <v>SRE Parts Truck Exp</v>
          </cell>
          <cell r="AJ95">
            <v>0</v>
          </cell>
          <cell r="AK95">
            <v>7211260</v>
          </cell>
          <cell r="AL95" t="str">
            <v>COS- Tyre Truck</v>
          </cell>
          <cell r="AM95">
            <v>337564727</v>
          </cell>
        </row>
        <row r="96">
          <cell r="A96">
            <v>7211185</v>
          </cell>
          <cell r="B96" t="str">
            <v>COS Rental - Trk Chg</v>
          </cell>
          <cell r="C96">
            <v>4192444654</v>
          </cell>
          <cell r="G96">
            <v>7411256</v>
          </cell>
          <cell r="H96" t="str">
            <v>Petrol</v>
          </cell>
          <cell r="I96">
            <v>67804840</v>
          </cell>
          <cell r="J96">
            <v>7411260</v>
          </cell>
          <cell r="K96" t="str">
            <v>Parts Consumed</v>
          </cell>
          <cell r="L96">
            <v>630748134</v>
          </cell>
          <cell r="M96">
            <v>7411250</v>
          </cell>
          <cell r="N96" t="str">
            <v>Material Consumed</v>
          </cell>
          <cell r="O96">
            <v>1497652953</v>
          </cell>
          <cell r="P96">
            <v>7411250</v>
          </cell>
          <cell r="Q96" t="str">
            <v>Material Consumed</v>
          </cell>
          <cell r="R96">
            <v>1160206648</v>
          </cell>
          <cell r="S96">
            <v>7411250</v>
          </cell>
          <cell r="T96" t="str">
            <v>Material Consumed</v>
          </cell>
          <cell r="U96">
            <v>1591948265</v>
          </cell>
          <cell r="V96">
            <v>7411190</v>
          </cell>
          <cell r="W96" t="str">
            <v>SRE Parts Delvr. Exp</v>
          </cell>
          <cell r="X96">
            <v>57280700</v>
          </cell>
          <cell r="Y96">
            <v>7331990</v>
          </cell>
          <cell r="Z96" t="str">
            <v>SRE Other</v>
          </cell>
          <cell r="AA96">
            <v>112710000</v>
          </cell>
          <cell r="AB96">
            <v>7411150</v>
          </cell>
          <cell r="AC96" t="str">
            <v>SRE Parts Truck Exp</v>
          </cell>
          <cell r="AD96">
            <v>40218600</v>
          </cell>
          <cell r="AE96">
            <v>7411110</v>
          </cell>
          <cell r="AF96" t="str">
            <v>SRE Parts Supp Int.</v>
          </cell>
          <cell r="AG96">
            <v>1246050</v>
          </cell>
          <cell r="AH96">
            <v>7411190</v>
          </cell>
          <cell r="AI96" t="str">
            <v>SRE Parts Delvr. Exp</v>
          </cell>
          <cell r="AJ96">
            <v>4000000</v>
          </cell>
          <cell r="AK96">
            <v>7211990</v>
          </cell>
          <cell r="AL96" t="str">
            <v>COS Other</v>
          </cell>
          <cell r="AM96">
            <v>0</v>
          </cell>
        </row>
        <row r="97">
          <cell r="A97">
            <v>7211200</v>
          </cell>
          <cell r="B97" t="str">
            <v>WIP COS</v>
          </cell>
          <cell r="C97">
            <v>-19902311500</v>
          </cell>
          <cell r="G97">
            <v>7411257</v>
          </cell>
          <cell r="H97" t="str">
            <v>Bucket and Blade</v>
          </cell>
          <cell r="I97">
            <v>1508490</v>
          </cell>
          <cell r="J97">
            <v>7421160</v>
          </cell>
          <cell r="K97" t="str">
            <v>SRE Ser Sal Dir Svmn</v>
          </cell>
          <cell r="L97">
            <v>151934583</v>
          </cell>
          <cell r="M97">
            <v>7411251</v>
          </cell>
          <cell r="N97" t="str">
            <v>Tyre CAT</v>
          </cell>
          <cell r="O97">
            <v>18975000</v>
          </cell>
          <cell r="P97">
            <v>7411251</v>
          </cell>
          <cell r="Q97" t="str">
            <v>Tyre CAT</v>
          </cell>
          <cell r="R97">
            <v>660151500</v>
          </cell>
          <cell r="S97">
            <v>7411251</v>
          </cell>
          <cell r="T97" t="str">
            <v>Tyre CAT</v>
          </cell>
          <cell r="U97">
            <v>-200670650</v>
          </cell>
          <cell r="V97">
            <v>7411200</v>
          </cell>
          <cell r="W97" t="str">
            <v>SRE Pts Misc</v>
          </cell>
          <cell r="X97">
            <v>65665304</v>
          </cell>
          <cell r="Y97">
            <v>7411150</v>
          </cell>
          <cell r="Z97" t="str">
            <v>SRE Parts Truck Exp</v>
          </cell>
          <cell r="AA97">
            <v>805500</v>
          </cell>
          <cell r="AB97">
            <v>7411190</v>
          </cell>
          <cell r="AC97" t="str">
            <v>SRE Parts Delvr. Exp</v>
          </cell>
          <cell r="AD97">
            <v>58328800</v>
          </cell>
          <cell r="AE97">
            <v>7411150</v>
          </cell>
          <cell r="AF97" t="str">
            <v>SRE Parts Truck Exp</v>
          </cell>
          <cell r="AG97">
            <v>0</v>
          </cell>
          <cell r="AH97">
            <v>7411200</v>
          </cell>
          <cell r="AI97" t="str">
            <v>SRE Pts Misc</v>
          </cell>
          <cell r="AJ97">
            <v>187877887</v>
          </cell>
          <cell r="AK97">
            <v>7331990</v>
          </cell>
          <cell r="AL97" t="str">
            <v>SRE Other</v>
          </cell>
          <cell r="AM97">
            <v>660352176</v>
          </cell>
        </row>
        <row r="98">
          <cell r="A98">
            <v>7211260</v>
          </cell>
          <cell r="B98" t="str">
            <v>COS- Tyre Truck</v>
          </cell>
          <cell r="C98">
            <v>1169428005</v>
          </cell>
          <cell r="G98">
            <v>7411258</v>
          </cell>
          <cell r="H98" t="str">
            <v>Undercarriage</v>
          </cell>
          <cell r="I98">
            <v>49859580</v>
          </cell>
          <cell r="J98">
            <v>7421170</v>
          </cell>
          <cell r="K98" t="str">
            <v>SRE Sv OT Dir Svcmn</v>
          </cell>
          <cell r="L98">
            <v>4871450</v>
          </cell>
          <cell r="M98">
            <v>7411252</v>
          </cell>
          <cell r="N98" t="str">
            <v>GET</v>
          </cell>
          <cell r="O98">
            <v>151312640</v>
          </cell>
          <cell r="P98">
            <v>7411252</v>
          </cell>
          <cell r="Q98" t="str">
            <v>GET</v>
          </cell>
          <cell r="R98">
            <v>120461720</v>
          </cell>
          <cell r="S98">
            <v>7411252</v>
          </cell>
          <cell r="T98" t="str">
            <v>GET</v>
          </cell>
          <cell r="U98">
            <v>130460670</v>
          </cell>
          <cell r="V98">
            <v>7411240</v>
          </cell>
          <cell r="W98" t="str">
            <v>Semi finished cons</v>
          </cell>
          <cell r="X98">
            <v>0</v>
          </cell>
          <cell r="Y98">
            <v>7411190</v>
          </cell>
          <cell r="Z98" t="str">
            <v>SRE Parts Delvr. Exp</v>
          </cell>
          <cell r="AA98">
            <v>54104000</v>
          </cell>
          <cell r="AB98">
            <v>7411200</v>
          </cell>
          <cell r="AC98" t="str">
            <v>SRE Pts Misc</v>
          </cell>
          <cell r="AD98">
            <v>5765360</v>
          </cell>
          <cell r="AE98">
            <v>7411190</v>
          </cell>
          <cell r="AF98" t="str">
            <v>SRE Parts Delvr. Exp</v>
          </cell>
          <cell r="AG98">
            <v>18050889</v>
          </cell>
          <cell r="AH98">
            <v>7411240</v>
          </cell>
          <cell r="AI98" t="str">
            <v>Semi finished cons</v>
          </cell>
          <cell r="AJ98">
            <v>0</v>
          </cell>
          <cell r="AK98">
            <v>7411190</v>
          </cell>
          <cell r="AL98" t="str">
            <v>SRE Parts Delvr. Exp</v>
          </cell>
          <cell r="AM98">
            <v>53634503</v>
          </cell>
        </row>
        <row r="99">
          <cell r="A99">
            <v>7211990</v>
          </cell>
          <cell r="B99" t="str">
            <v>COS Other</v>
          </cell>
          <cell r="C99">
            <v>1323198440</v>
          </cell>
          <cell r="G99">
            <v>7411259</v>
          </cell>
          <cell r="H99" t="str">
            <v>PE Component</v>
          </cell>
          <cell r="I99">
            <v>12762200</v>
          </cell>
          <cell r="J99">
            <v>7421240</v>
          </cell>
          <cell r="K99" t="str">
            <v>SRE Svc Small Tool</v>
          </cell>
          <cell r="L99">
            <v>23378000</v>
          </cell>
          <cell r="M99">
            <v>7411253</v>
          </cell>
          <cell r="N99" t="str">
            <v>Oil</v>
          </cell>
          <cell r="O99">
            <v>274851969</v>
          </cell>
          <cell r="P99">
            <v>7411253</v>
          </cell>
          <cell r="Q99" t="str">
            <v>Oil</v>
          </cell>
          <cell r="R99">
            <v>419827640</v>
          </cell>
          <cell r="S99">
            <v>7411253</v>
          </cell>
          <cell r="T99" t="str">
            <v>Oil</v>
          </cell>
          <cell r="U99">
            <v>671248071</v>
          </cell>
          <cell r="V99">
            <v>7411250</v>
          </cell>
          <cell r="W99" t="str">
            <v>Material Consumed</v>
          </cell>
          <cell r="X99">
            <v>840885478</v>
          </cell>
          <cell r="Y99">
            <v>7411200</v>
          </cell>
          <cell r="Z99" t="str">
            <v>SRE Pts Misc</v>
          </cell>
          <cell r="AA99">
            <v>190770549</v>
          </cell>
          <cell r="AB99">
            <v>7411240</v>
          </cell>
          <cell r="AC99" t="str">
            <v>Semi finished cons</v>
          </cell>
          <cell r="AD99">
            <v>0</v>
          </cell>
          <cell r="AE99">
            <v>7411200</v>
          </cell>
          <cell r="AF99" t="str">
            <v>SRE Pts Misc</v>
          </cell>
          <cell r="AG99">
            <v>87632421</v>
          </cell>
          <cell r="AH99">
            <v>7411250</v>
          </cell>
          <cell r="AI99" t="str">
            <v>Material Consumed</v>
          </cell>
          <cell r="AJ99">
            <v>952237345</v>
          </cell>
          <cell r="AK99">
            <v>7411200</v>
          </cell>
          <cell r="AL99" t="str">
            <v>SRE Pts Misc</v>
          </cell>
          <cell r="AM99">
            <v>285680587</v>
          </cell>
        </row>
        <row r="100">
          <cell r="A100">
            <v>7331990</v>
          </cell>
          <cell r="B100" t="str">
            <v>SRE Other</v>
          </cell>
          <cell r="C100">
            <v>2576905320</v>
          </cell>
          <cell r="G100">
            <v>7411260</v>
          </cell>
          <cell r="H100" t="str">
            <v>Parts Consumed</v>
          </cell>
          <cell r="I100">
            <v>459574706</v>
          </cell>
          <cell r="J100">
            <v>7421250</v>
          </cell>
          <cell r="K100" t="str">
            <v>SRE Sv Supp int use</v>
          </cell>
          <cell r="L100">
            <v>8432000</v>
          </cell>
          <cell r="M100">
            <v>7411254</v>
          </cell>
          <cell r="N100" t="str">
            <v>Grease</v>
          </cell>
          <cell r="O100">
            <v>30247640</v>
          </cell>
          <cell r="P100">
            <v>7411254</v>
          </cell>
          <cell r="Q100" t="str">
            <v>Grease</v>
          </cell>
          <cell r="R100">
            <v>8308310</v>
          </cell>
          <cell r="S100">
            <v>7411254</v>
          </cell>
          <cell r="T100" t="str">
            <v>Grease</v>
          </cell>
          <cell r="U100">
            <v>39277890</v>
          </cell>
          <cell r="V100">
            <v>7411251</v>
          </cell>
          <cell r="W100" t="str">
            <v>Tyre CAT</v>
          </cell>
          <cell r="X100">
            <v>292580650</v>
          </cell>
          <cell r="Y100">
            <v>7411240</v>
          </cell>
          <cell r="Z100" t="str">
            <v>Semi finished cons</v>
          </cell>
          <cell r="AA100">
            <v>0</v>
          </cell>
          <cell r="AB100">
            <v>7411250</v>
          </cell>
          <cell r="AC100" t="str">
            <v>Material Consumed</v>
          </cell>
          <cell r="AD100">
            <v>1133983283</v>
          </cell>
          <cell r="AE100">
            <v>7411240</v>
          </cell>
          <cell r="AF100" t="str">
            <v>Semi finished cons</v>
          </cell>
          <cell r="AG100">
            <v>0</v>
          </cell>
          <cell r="AH100">
            <v>7411251</v>
          </cell>
          <cell r="AI100" t="str">
            <v>Tyre CAT</v>
          </cell>
          <cell r="AJ100">
            <v>54550000</v>
          </cell>
          <cell r="AK100">
            <v>7411240</v>
          </cell>
          <cell r="AL100" t="str">
            <v>Semi finished cons</v>
          </cell>
          <cell r="AM100">
            <v>6783890</v>
          </cell>
        </row>
        <row r="101">
          <cell r="A101">
            <v>7411110</v>
          </cell>
          <cell r="B101" t="str">
            <v>SRE Parts Supp Int.</v>
          </cell>
          <cell r="C101">
            <v>57712125</v>
          </cell>
          <cell r="G101">
            <v>7421160</v>
          </cell>
          <cell r="H101" t="str">
            <v>SRE Ser Sal Dir Svmn</v>
          </cell>
          <cell r="I101">
            <v>194037761</v>
          </cell>
          <cell r="J101">
            <v>7421410</v>
          </cell>
          <cell r="K101" t="str">
            <v>SRE Sal HE Opr</v>
          </cell>
          <cell r="L101">
            <v>189667628</v>
          </cell>
          <cell r="M101">
            <v>7411256</v>
          </cell>
          <cell r="N101" t="str">
            <v>Petrol</v>
          </cell>
          <cell r="O101">
            <v>75670334</v>
          </cell>
          <cell r="P101">
            <v>7411256</v>
          </cell>
          <cell r="Q101" t="str">
            <v>Petrol</v>
          </cell>
          <cell r="R101">
            <v>133645000</v>
          </cell>
          <cell r="S101">
            <v>7411256</v>
          </cell>
          <cell r="T101" t="str">
            <v>Petrol</v>
          </cell>
          <cell r="U101">
            <v>5366112032</v>
          </cell>
          <cell r="V101">
            <v>7411252</v>
          </cell>
          <cell r="W101" t="str">
            <v>GET</v>
          </cell>
          <cell r="X101">
            <v>97331990</v>
          </cell>
          <cell r="Y101">
            <v>7411250</v>
          </cell>
          <cell r="Z101" t="str">
            <v>Material Consumed</v>
          </cell>
          <cell r="AA101">
            <v>1049993858</v>
          </cell>
          <cell r="AB101">
            <v>7411251</v>
          </cell>
          <cell r="AC101" t="str">
            <v>Tyre CAT</v>
          </cell>
          <cell r="AD101">
            <v>1273500</v>
          </cell>
          <cell r="AE101">
            <v>7411250</v>
          </cell>
          <cell r="AF101" t="str">
            <v>Material Consumed</v>
          </cell>
          <cell r="AG101">
            <v>971606581</v>
          </cell>
          <cell r="AH101">
            <v>7411252</v>
          </cell>
          <cell r="AI101" t="str">
            <v>GET</v>
          </cell>
          <cell r="AJ101">
            <v>209843420</v>
          </cell>
          <cell r="AK101">
            <v>7411250</v>
          </cell>
          <cell r="AL101" t="str">
            <v>Material Consumed</v>
          </cell>
          <cell r="AM101">
            <v>3127262559</v>
          </cell>
        </row>
        <row r="102">
          <cell r="A102">
            <v>7411130</v>
          </cell>
          <cell r="B102" t="str">
            <v>SRE Parts D/T Sea-Rd</v>
          </cell>
          <cell r="C102">
            <v>750000</v>
          </cell>
          <cell r="G102">
            <v>7421170</v>
          </cell>
          <cell r="H102" t="str">
            <v>SRE Sv OT Dir Svcmn</v>
          </cell>
          <cell r="I102">
            <v>8452850</v>
          </cell>
          <cell r="J102">
            <v>7421420</v>
          </cell>
          <cell r="K102" t="str">
            <v>SRE Sal OT HE Opr</v>
          </cell>
          <cell r="L102">
            <v>48322723</v>
          </cell>
          <cell r="M102">
            <v>7411257</v>
          </cell>
          <cell r="N102" t="str">
            <v>Bucket and Blade</v>
          </cell>
          <cell r="O102">
            <v>12524180</v>
          </cell>
          <cell r="P102">
            <v>7411257</v>
          </cell>
          <cell r="Q102" t="str">
            <v>Bucket and Blade</v>
          </cell>
          <cell r="R102">
            <v>3061580</v>
          </cell>
          <cell r="S102">
            <v>7411257</v>
          </cell>
          <cell r="T102" t="str">
            <v>Bucket and Blade</v>
          </cell>
          <cell r="U102">
            <v>3494240</v>
          </cell>
          <cell r="V102">
            <v>7411253</v>
          </cell>
          <cell r="W102" t="str">
            <v>Oil</v>
          </cell>
          <cell r="X102">
            <v>429862396</v>
          </cell>
          <cell r="Y102">
            <v>7411251</v>
          </cell>
          <cell r="Z102" t="str">
            <v>Tyre CAT</v>
          </cell>
          <cell r="AA102">
            <v>2027031750</v>
          </cell>
          <cell r="AB102">
            <v>7411252</v>
          </cell>
          <cell r="AC102" t="str">
            <v>GET</v>
          </cell>
          <cell r="AD102">
            <v>102070290</v>
          </cell>
          <cell r="AE102">
            <v>7411251</v>
          </cell>
          <cell r="AF102" t="str">
            <v>Tyre CAT</v>
          </cell>
          <cell r="AG102">
            <v>68247850</v>
          </cell>
          <cell r="AH102">
            <v>7411253</v>
          </cell>
          <cell r="AI102" t="str">
            <v>Oil</v>
          </cell>
          <cell r="AJ102">
            <v>20485000</v>
          </cell>
          <cell r="AK102">
            <v>7411251</v>
          </cell>
          <cell r="AL102" t="str">
            <v>Tyre CAT</v>
          </cell>
          <cell r="AM102">
            <v>318878100</v>
          </cell>
        </row>
        <row r="103">
          <cell r="A103">
            <v>7411150</v>
          </cell>
          <cell r="B103" t="str">
            <v>SRE Parts Truck Exp</v>
          </cell>
          <cell r="C103">
            <v>30036934</v>
          </cell>
          <cell r="G103">
            <v>7421240</v>
          </cell>
          <cell r="H103" t="str">
            <v>SRE Svc Small Tool</v>
          </cell>
          <cell r="I103">
            <v>74300695</v>
          </cell>
          <cell r="J103">
            <v>7421430</v>
          </cell>
          <cell r="K103" t="str">
            <v>SRE Sal DT Driver</v>
          </cell>
          <cell r="L103">
            <v>222149210</v>
          </cell>
          <cell r="M103">
            <v>7411258</v>
          </cell>
          <cell r="N103" t="str">
            <v>Undercarriage</v>
          </cell>
          <cell r="O103">
            <v>124086580</v>
          </cell>
          <cell r="P103">
            <v>7411258</v>
          </cell>
          <cell r="Q103" t="str">
            <v>Undercarriage</v>
          </cell>
          <cell r="R103">
            <v>39620600</v>
          </cell>
          <cell r="S103">
            <v>7411258</v>
          </cell>
          <cell r="T103" t="str">
            <v>Undercarriage</v>
          </cell>
          <cell r="U103">
            <v>54562380</v>
          </cell>
          <cell r="V103">
            <v>7411254</v>
          </cell>
          <cell r="W103" t="str">
            <v>Grease</v>
          </cell>
          <cell r="X103">
            <v>53218570</v>
          </cell>
          <cell r="Y103">
            <v>7411252</v>
          </cell>
          <cell r="Z103" t="str">
            <v>GET</v>
          </cell>
          <cell r="AA103">
            <v>120043070</v>
          </cell>
          <cell r="AB103">
            <v>7411253</v>
          </cell>
          <cell r="AC103" t="str">
            <v>Oil</v>
          </cell>
          <cell r="AD103">
            <v>452012485</v>
          </cell>
          <cell r="AE103">
            <v>7411252</v>
          </cell>
          <cell r="AF103" t="str">
            <v>GET</v>
          </cell>
          <cell r="AG103">
            <v>141426960</v>
          </cell>
          <cell r="AH103">
            <v>7411254</v>
          </cell>
          <cell r="AI103" t="str">
            <v>Grease</v>
          </cell>
          <cell r="AJ103">
            <v>58055</v>
          </cell>
          <cell r="AK103">
            <v>7411252</v>
          </cell>
          <cell r="AL103" t="str">
            <v>GET</v>
          </cell>
          <cell r="AM103">
            <v>153854609</v>
          </cell>
        </row>
        <row r="104">
          <cell r="A104">
            <v>7411190</v>
          </cell>
          <cell r="B104" t="str">
            <v>SRE Parts Delvr. Exp</v>
          </cell>
          <cell r="C104">
            <v>412346043</v>
          </cell>
          <cell r="G104">
            <v>7421250</v>
          </cell>
          <cell r="H104" t="str">
            <v>SRE Sv Supp int use</v>
          </cell>
          <cell r="I104">
            <v>35665300</v>
          </cell>
          <cell r="J104">
            <v>7421440</v>
          </cell>
          <cell r="K104" t="str">
            <v>SRE Sal OT DT Driver</v>
          </cell>
          <cell r="L104">
            <v>73009148</v>
          </cell>
          <cell r="M104">
            <v>7411259</v>
          </cell>
          <cell r="N104" t="str">
            <v>PE Component</v>
          </cell>
          <cell r="O104">
            <v>4712380</v>
          </cell>
          <cell r="P104">
            <v>7411259</v>
          </cell>
          <cell r="Q104" t="str">
            <v>PE Component</v>
          </cell>
          <cell r="R104">
            <v>175250</v>
          </cell>
          <cell r="S104">
            <v>7411260</v>
          </cell>
          <cell r="T104" t="str">
            <v>Parts Consumed</v>
          </cell>
          <cell r="U104">
            <v>1818269549</v>
          </cell>
          <cell r="V104">
            <v>7411256</v>
          </cell>
          <cell r="W104" t="str">
            <v>Petrol</v>
          </cell>
          <cell r="X104">
            <v>1477466170</v>
          </cell>
          <cell r="Y104">
            <v>7411253</v>
          </cell>
          <cell r="Z104" t="str">
            <v>Oil</v>
          </cell>
          <cell r="AA104">
            <v>748109749</v>
          </cell>
          <cell r="AB104">
            <v>7411254</v>
          </cell>
          <cell r="AC104" t="str">
            <v>Grease</v>
          </cell>
          <cell r="AD104">
            <v>67404790</v>
          </cell>
          <cell r="AE104">
            <v>7411253</v>
          </cell>
          <cell r="AF104" t="str">
            <v>Oil</v>
          </cell>
          <cell r="AG104">
            <v>23259050</v>
          </cell>
          <cell r="AH104">
            <v>7411256</v>
          </cell>
          <cell r="AI104" t="str">
            <v>Petrol</v>
          </cell>
          <cell r="AJ104">
            <v>4005959058</v>
          </cell>
          <cell r="AK104">
            <v>7411253</v>
          </cell>
          <cell r="AL104" t="str">
            <v>Oil</v>
          </cell>
          <cell r="AM104">
            <v>1117394117</v>
          </cell>
        </row>
        <row r="105">
          <cell r="A105">
            <v>7411200</v>
          </cell>
          <cell r="B105" t="str">
            <v>SRE Pts Misc</v>
          </cell>
          <cell r="C105">
            <v>803491494</v>
          </cell>
          <cell r="G105">
            <v>7421410</v>
          </cell>
          <cell r="H105" t="str">
            <v>SRE Sal HE Opr</v>
          </cell>
          <cell r="I105">
            <v>283290555</v>
          </cell>
          <cell r="J105">
            <v>7431110</v>
          </cell>
          <cell r="K105" t="str">
            <v>SRE Delivery Revisit</v>
          </cell>
          <cell r="L105">
            <v>213038750</v>
          </cell>
          <cell r="M105">
            <v>7411260</v>
          </cell>
          <cell r="N105" t="str">
            <v>Parts Consumed</v>
          </cell>
          <cell r="O105">
            <v>75436523</v>
          </cell>
          <cell r="P105">
            <v>7411260</v>
          </cell>
          <cell r="Q105" t="str">
            <v>Parts Consumed</v>
          </cell>
          <cell r="R105">
            <v>400582751</v>
          </cell>
          <cell r="S105">
            <v>7421160</v>
          </cell>
          <cell r="T105" t="str">
            <v>SRE Ser Sal Dir Svmn</v>
          </cell>
          <cell r="U105">
            <v>102687748</v>
          </cell>
          <cell r="V105">
            <v>7411257</v>
          </cell>
          <cell r="W105" t="str">
            <v>Bucket and Blade</v>
          </cell>
          <cell r="X105">
            <v>1767940</v>
          </cell>
          <cell r="Y105">
            <v>7411254</v>
          </cell>
          <cell r="Z105" t="str">
            <v>Grease</v>
          </cell>
          <cell r="AA105">
            <v>15345456</v>
          </cell>
          <cell r="AB105">
            <v>7411256</v>
          </cell>
          <cell r="AC105" t="str">
            <v>Petrol</v>
          </cell>
          <cell r="AD105">
            <v>3361296926</v>
          </cell>
          <cell r="AE105">
            <v>7411254</v>
          </cell>
          <cell r="AF105" t="str">
            <v>Grease</v>
          </cell>
          <cell r="AG105">
            <v>60000</v>
          </cell>
          <cell r="AH105">
            <v>7411257</v>
          </cell>
          <cell r="AI105" t="str">
            <v>Bucket and Blade</v>
          </cell>
          <cell r="AJ105">
            <v>7701470</v>
          </cell>
          <cell r="AK105">
            <v>7411254</v>
          </cell>
          <cell r="AL105" t="str">
            <v>Grease</v>
          </cell>
          <cell r="AM105">
            <v>180739032</v>
          </cell>
        </row>
        <row r="106">
          <cell r="A106">
            <v>7411240</v>
          </cell>
          <cell r="B106" t="str">
            <v>Semi finished cons</v>
          </cell>
          <cell r="C106">
            <v>4874576825</v>
          </cell>
          <cell r="G106">
            <v>7421420</v>
          </cell>
          <cell r="H106" t="str">
            <v>SRE Sal OT HE Opr</v>
          </cell>
          <cell r="I106">
            <v>109040714</v>
          </cell>
          <cell r="J106">
            <v>7431130</v>
          </cell>
          <cell r="K106" t="str">
            <v>SRE Mkt Sales Comm</v>
          </cell>
          <cell r="L106">
            <v>22004786</v>
          </cell>
          <cell r="M106">
            <v>7421160</v>
          </cell>
          <cell r="N106" t="str">
            <v>SRE Ser Sal Dir Svmn</v>
          </cell>
          <cell r="O106">
            <v>173555790</v>
          </cell>
          <cell r="P106">
            <v>7421160</v>
          </cell>
          <cell r="Q106" t="str">
            <v>SRE Ser Sal Dir Svmn</v>
          </cell>
          <cell r="R106">
            <v>203312715</v>
          </cell>
          <cell r="S106">
            <v>7421170</v>
          </cell>
          <cell r="T106" t="str">
            <v>SRE Sv OT Dir Svcmn</v>
          </cell>
          <cell r="U106">
            <v>126587950</v>
          </cell>
          <cell r="V106">
            <v>7411258</v>
          </cell>
          <cell r="W106" t="str">
            <v>Undercarriage</v>
          </cell>
          <cell r="X106">
            <v>30873880</v>
          </cell>
          <cell r="Y106">
            <v>7411256</v>
          </cell>
          <cell r="Z106" t="str">
            <v>Petrol</v>
          </cell>
          <cell r="AA106">
            <v>925568353</v>
          </cell>
          <cell r="AB106">
            <v>7411257</v>
          </cell>
          <cell r="AC106" t="str">
            <v>Bucket and Blade</v>
          </cell>
          <cell r="AD106">
            <v>12674120</v>
          </cell>
          <cell r="AE106">
            <v>7411256</v>
          </cell>
          <cell r="AF106" t="str">
            <v>Petrol</v>
          </cell>
          <cell r="AG106">
            <v>6340594981</v>
          </cell>
          <cell r="AH106">
            <v>7411258</v>
          </cell>
          <cell r="AI106" t="str">
            <v>Undercarriage</v>
          </cell>
          <cell r="AJ106">
            <v>424040405</v>
          </cell>
          <cell r="AK106">
            <v>7411256</v>
          </cell>
          <cell r="AL106" t="str">
            <v>Petrol</v>
          </cell>
          <cell r="AM106">
            <v>6585757345</v>
          </cell>
        </row>
        <row r="107">
          <cell r="A107">
            <v>7411250</v>
          </cell>
          <cell r="B107" t="str">
            <v>Material Consumed</v>
          </cell>
          <cell r="C107">
            <v>6444631448</v>
          </cell>
          <cell r="G107">
            <v>7421430</v>
          </cell>
          <cell r="H107" t="str">
            <v>SRE Sal DT Driver</v>
          </cell>
          <cell r="I107">
            <v>216063908</v>
          </cell>
          <cell r="J107">
            <v>8111110</v>
          </cell>
          <cell r="K107" t="str">
            <v>Compensation</v>
          </cell>
          <cell r="L107">
            <v>1189503873</v>
          </cell>
          <cell r="M107">
            <v>7421170</v>
          </cell>
          <cell r="N107" t="str">
            <v>SRE Sv OT Dir Svcmn</v>
          </cell>
          <cell r="O107">
            <v>7367900</v>
          </cell>
          <cell r="P107">
            <v>7421170</v>
          </cell>
          <cell r="Q107" t="str">
            <v>SRE Sv OT Dir Svcmn</v>
          </cell>
          <cell r="R107">
            <v>20998850</v>
          </cell>
          <cell r="S107">
            <v>7421240</v>
          </cell>
          <cell r="T107" t="str">
            <v>SRE Svc Small Tool</v>
          </cell>
          <cell r="U107">
            <v>103804870</v>
          </cell>
          <cell r="V107">
            <v>7411259</v>
          </cell>
          <cell r="W107" t="str">
            <v>PE Component</v>
          </cell>
          <cell r="X107">
            <v>397720</v>
          </cell>
          <cell r="Y107">
            <v>7411257</v>
          </cell>
          <cell r="Z107" t="str">
            <v>Bucket and Blade</v>
          </cell>
          <cell r="AA107">
            <v>15317260</v>
          </cell>
          <cell r="AB107">
            <v>7411258</v>
          </cell>
          <cell r="AC107" t="str">
            <v>Undercarriage</v>
          </cell>
          <cell r="AD107">
            <v>146828460</v>
          </cell>
          <cell r="AE107">
            <v>7411257</v>
          </cell>
          <cell r="AF107" t="str">
            <v>Bucket and Blade</v>
          </cell>
          <cell r="AG107">
            <v>-2341060</v>
          </cell>
          <cell r="AH107">
            <v>7411259</v>
          </cell>
          <cell r="AI107" t="str">
            <v>PE Component</v>
          </cell>
          <cell r="AJ107">
            <v>5823820</v>
          </cell>
          <cell r="AK107">
            <v>7411257</v>
          </cell>
          <cell r="AL107" t="str">
            <v>Bucket and Blade</v>
          </cell>
          <cell r="AM107">
            <v>16426520</v>
          </cell>
        </row>
        <row r="108">
          <cell r="A108">
            <v>7411251</v>
          </cell>
          <cell r="B108" t="str">
            <v>Tyre CAT</v>
          </cell>
          <cell r="C108">
            <v>4325169760</v>
          </cell>
          <cell r="G108">
            <v>7421440</v>
          </cell>
          <cell r="H108" t="str">
            <v>SRE Sal OT DT Driver</v>
          </cell>
          <cell r="I108">
            <v>72657175</v>
          </cell>
          <cell r="J108">
            <v>8111170</v>
          </cell>
          <cell r="K108" t="str">
            <v>E.B Medical</v>
          </cell>
          <cell r="L108">
            <v>80161398</v>
          </cell>
          <cell r="M108">
            <v>7421240</v>
          </cell>
          <cell r="N108" t="str">
            <v>SRE Svc Small Tool</v>
          </cell>
          <cell r="O108">
            <v>33556990</v>
          </cell>
          <cell r="P108">
            <v>7421240</v>
          </cell>
          <cell r="Q108" t="str">
            <v>SRE Svc Small Tool</v>
          </cell>
          <cell r="R108">
            <v>75355222</v>
          </cell>
          <cell r="S108">
            <v>7421250</v>
          </cell>
          <cell r="T108" t="str">
            <v>SRE Sv Supp int use</v>
          </cell>
          <cell r="U108">
            <v>4837000</v>
          </cell>
          <cell r="V108">
            <v>7411260</v>
          </cell>
          <cell r="W108" t="str">
            <v>Parts Consumed</v>
          </cell>
          <cell r="X108">
            <v>164143005</v>
          </cell>
          <cell r="Y108">
            <v>7411258</v>
          </cell>
          <cell r="Z108" t="str">
            <v>Undercarriage</v>
          </cell>
          <cell r="AA108">
            <v>25317940</v>
          </cell>
          <cell r="AB108">
            <v>7411259</v>
          </cell>
          <cell r="AC108" t="str">
            <v>PE Component</v>
          </cell>
          <cell r="AD108">
            <v>32650</v>
          </cell>
          <cell r="AE108">
            <v>7411258</v>
          </cell>
          <cell r="AF108" t="str">
            <v>Undercarriage</v>
          </cell>
          <cell r="AG108">
            <v>57675774</v>
          </cell>
          <cell r="AH108">
            <v>7411260</v>
          </cell>
          <cell r="AI108" t="str">
            <v>Parts Consumed</v>
          </cell>
          <cell r="AJ108">
            <v>2090107586</v>
          </cell>
          <cell r="AK108">
            <v>7411258</v>
          </cell>
          <cell r="AL108" t="str">
            <v>Undercarriage</v>
          </cell>
          <cell r="AM108">
            <v>244466625</v>
          </cell>
        </row>
        <row r="109">
          <cell r="A109">
            <v>7411252</v>
          </cell>
          <cell r="B109" t="str">
            <v>GET</v>
          </cell>
          <cell r="C109">
            <v>3135238502</v>
          </cell>
          <cell r="G109">
            <v>7431110</v>
          </cell>
          <cell r="H109" t="str">
            <v>SRE Delivery Revisit</v>
          </cell>
          <cell r="I109">
            <v>120871475</v>
          </cell>
          <cell r="J109">
            <v>8111200</v>
          </cell>
          <cell r="K109" t="str">
            <v>E.B Daily Allowance</v>
          </cell>
          <cell r="L109">
            <v>39149663</v>
          </cell>
          <cell r="M109">
            <v>7421250</v>
          </cell>
          <cell r="N109" t="str">
            <v>SRE Sv Supp int use</v>
          </cell>
          <cell r="O109">
            <v>13501200</v>
          </cell>
          <cell r="P109">
            <v>7421250</v>
          </cell>
          <cell r="Q109" t="str">
            <v>SRE Sv Supp int use</v>
          </cell>
          <cell r="R109">
            <v>12010700</v>
          </cell>
          <cell r="S109">
            <v>7421410</v>
          </cell>
          <cell r="T109" t="str">
            <v>SRE Sal HE Opr</v>
          </cell>
          <cell r="U109">
            <v>343914747</v>
          </cell>
          <cell r="V109">
            <v>7412000</v>
          </cell>
          <cell r="W109" t="str">
            <v>Production Output</v>
          </cell>
          <cell r="X109">
            <v>-46342500</v>
          </cell>
          <cell r="Y109">
            <v>7411260</v>
          </cell>
          <cell r="Z109" t="str">
            <v>Parts Consumed</v>
          </cell>
          <cell r="AA109">
            <v>1434311405</v>
          </cell>
          <cell r="AB109">
            <v>7411260</v>
          </cell>
          <cell r="AC109" t="str">
            <v>Parts Consumed</v>
          </cell>
          <cell r="AD109">
            <v>225828086</v>
          </cell>
          <cell r="AE109">
            <v>7411260</v>
          </cell>
          <cell r="AF109" t="str">
            <v>Parts Consumed</v>
          </cell>
          <cell r="AG109">
            <v>837080421</v>
          </cell>
          <cell r="AH109">
            <v>7421160</v>
          </cell>
          <cell r="AI109" t="str">
            <v>SRE Ser Sal Dir Svmn</v>
          </cell>
          <cell r="AJ109">
            <v>136528216</v>
          </cell>
          <cell r="AK109">
            <v>7411260</v>
          </cell>
          <cell r="AL109" t="str">
            <v>Parts Consumed</v>
          </cell>
          <cell r="AM109">
            <v>1763206209</v>
          </cell>
        </row>
        <row r="110">
          <cell r="A110">
            <v>7411253</v>
          </cell>
          <cell r="B110" t="str">
            <v>Oil</v>
          </cell>
          <cell r="C110">
            <v>2803164194</v>
          </cell>
          <cell r="G110">
            <v>7431130</v>
          </cell>
          <cell r="H110" t="str">
            <v>SRE Mkt Sales Comm</v>
          </cell>
          <cell r="I110">
            <v>13700232</v>
          </cell>
          <cell r="J110">
            <v>8111240</v>
          </cell>
          <cell r="K110" t="str">
            <v>E.B House rent</v>
          </cell>
          <cell r="L110">
            <v>14618444</v>
          </cell>
          <cell r="M110">
            <v>7421410</v>
          </cell>
          <cell r="N110" t="str">
            <v>SRE Sal HE Opr</v>
          </cell>
          <cell r="O110">
            <v>217841828</v>
          </cell>
          <cell r="P110">
            <v>7421410</v>
          </cell>
          <cell r="Q110" t="str">
            <v>SRE Sal HE Opr</v>
          </cell>
          <cell r="R110">
            <v>565623440</v>
          </cell>
          <cell r="S110">
            <v>7421420</v>
          </cell>
          <cell r="T110" t="str">
            <v>SRE Sal OT HE Opr</v>
          </cell>
          <cell r="U110">
            <v>254614112</v>
          </cell>
          <cell r="V110">
            <v>7412930</v>
          </cell>
          <cell r="W110" t="str">
            <v>Processing Material</v>
          </cell>
          <cell r="X110">
            <v>635219710</v>
          </cell>
          <cell r="Y110">
            <v>7421160</v>
          </cell>
          <cell r="Z110" t="str">
            <v>SRE Ser Sal Dir Svmn</v>
          </cell>
          <cell r="AA110">
            <v>215372796</v>
          </cell>
          <cell r="AB110">
            <v>7421160</v>
          </cell>
          <cell r="AC110" t="str">
            <v>SRE Ser Sal Dir Svmn</v>
          </cell>
          <cell r="AD110">
            <v>152777773</v>
          </cell>
          <cell r="AE110">
            <v>7412930</v>
          </cell>
          <cell r="AF110" t="str">
            <v>Processing Material</v>
          </cell>
          <cell r="AG110">
            <v>1125368730</v>
          </cell>
          <cell r="AH110">
            <v>7421170</v>
          </cell>
          <cell r="AI110" t="str">
            <v>SRE Sv OT Dir Svcmn</v>
          </cell>
          <cell r="AJ110">
            <v>79316995</v>
          </cell>
          <cell r="AK110">
            <v>7412930</v>
          </cell>
          <cell r="AL110" t="str">
            <v>Processing Material</v>
          </cell>
          <cell r="AM110">
            <v>599948900</v>
          </cell>
        </row>
        <row r="111">
          <cell r="A111">
            <v>7411254</v>
          </cell>
          <cell r="B111" t="str">
            <v>Grease</v>
          </cell>
          <cell r="C111">
            <v>367572310</v>
          </cell>
          <cell r="G111">
            <v>8111110</v>
          </cell>
          <cell r="H111" t="str">
            <v>Compensation</v>
          </cell>
          <cell r="I111">
            <v>1067524559</v>
          </cell>
          <cell r="J111">
            <v>8111255</v>
          </cell>
          <cell r="K111" t="str">
            <v>E.B PhoneTaxDisallow</v>
          </cell>
          <cell r="L111">
            <v>1308752</v>
          </cell>
          <cell r="M111">
            <v>7421420</v>
          </cell>
          <cell r="N111" t="str">
            <v>SRE Sal OT HE Opr</v>
          </cell>
          <cell r="O111">
            <v>60406936</v>
          </cell>
          <cell r="P111">
            <v>7421420</v>
          </cell>
          <cell r="Q111" t="str">
            <v>SRE Sal OT HE Opr</v>
          </cell>
          <cell r="R111">
            <v>76962031</v>
          </cell>
          <cell r="S111">
            <v>7421430</v>
          </cell>
          <cell r="T111" t="str">
            <v>SRE Sal DT Driver</v>
          </cell>
          <cell r="U111">
            <v>106686435</v>
          </cell>
          <cell r="V111">
            <v>7421160</v>
          </cell>
          <cell r="W111" t="str">
            <v>SRE Ser Sal Dir Svmn</v>
          </cell>
          <cell r="X111">
            <v>52945841</v>
          </cell>
          <cell r="Y111">
            <v>7421170</v>
          </cell>
          <cell r="Z111" t="str">
            <v>SRE Sv OT Dir Svcmn</v>
          </cell>
          <cell r="AA111">
            <v>34258850</v>
          </cell>
          <cell r="AB111">
            <v>7421170</v>
          </cell>
          <cell r="AC111" t="str">
            <v>SRE Sv OT Dir Svcmn</v>
          </cell>
          <cell r="AD111">
            <v>117003745</v>
          </cell>
          <cell r="AE111">
            <v>7421160</v>
          </cell>
          <cell r="AF111" t="str">
            <v>SRE Ser Sal Dir Svmn</v>
          </cell>
          <cell r="AG111">
            <v>127900140</v>
          </cell>
          <cell r="AH111">
            <v>7421240</v>
          </cell>
          <cell r="AI111" t="str">
            <v>SRE Svc Small Tool</v>
          </cell>
          <cell r="AJ111">
            <v>268359683</v>
          </cell>
          <cell r="AK111">
            <v>7421160</v>
          </cell>
          <cell r="AL111" t="str">
            <v>SRE Ser Sal Dir Svmn</v>
          </cell>
          <cell r="AM111">
            <v>44436256</v>
          </cell>
        </row>
        <row r="112">
          <cell r="A112">
            <v>7411256</v>
          </cell>
          <cell r="B112" t="str">
            <v>Petrol</v>
          </cell>
          <cell r="C112">
            <v>399526750</v>
          </cell>
          <cell r="G112">
            <v>8111170</v>
          </cell>
          <cell r="H112" t="str">
            <v>E.B Medical</v>
          </cell>
          <cell r="I112">
            <v>32801147</v>
          </cell>
          <cell r="J112">
            <v>8111280</v>
          </cell>
          <cell r="K112" t="str">
            <v>Workoutfits</v>
          </cell>
          <cell r="L112">
            <v>28329200</v>
          </cell>
          <cell r="M112">
            <v>7421430</v>
          </cell>
          <cell r="N112" t="str">
            <v>SRE Sal DT Driver</v>
          </cell>
          <cell r="O112">
            <v>228396068</v>
          </cell>
          <cell r="P112">
            <v>7421430</v>
          </cell>
          <cell r="Q112" t="str">
            <v>SRE Sal DT Driver</v>
          </cell>
          <cell r="R112">
            <v>356635141</v>
          </cell>
          <cell r="S112">
            <v>7421440</v>
          </cell>
          <cell r="T112" t="str">
            <v>SRE Sal OT DT Driver</v>
          </cell>
          <cell r="U112">
            <v>104767147</v>
          </cell>
          <cell r="V112">
            <v>7421170</v>
          </cell>
          <cell r="W112" t="str">
            <v>SRE Sv OT Dir Svcmn</v>
          </cell>
          <cell r="X112">
            <v>38578870</v>
          </cell>
          <cell r="Y112">
            <v>7421240</v>
          </cell>
          <cell r="Z112" t="str">
            <v>SRE Svc Small Tool</v>
          </cell>
          <cell r="AA112">
            <v>245602813</v>
          </cell>
          <cell r="AB112">
            <v>7421240</v>
          </cell>
          <cell r="AC112" t="str">
            <v>SRE Svc Small Tool</v>
          </cell>
          <cell r="AD112">
            <v>119920962</v>
          </cell>
          <cell r="AE112">
            <v>7421170</v>
          </cell>
          <cell r="AF112" t="str">
            <v>SRE Sv OT Dir Svcmn</v>
          </cell>
          <cell r="AG112">
            <v>92952463</v>
          </cell>
          <cell r="AH112">
            <v>7421250</v>
          </cell>
          <cell r="AI112" t="str">
            <v>SRE Sv Supp int use</v>
          </cell>
          <cell r="AJ112">
            <v>2835600</v>
          </cell>
          <cell r="AK112">
            <v>7421170</v>
          </cell>
          <cell r="AL112" t="str">
            <v>SRE Sv OT Dir Svcmn</v>
          </cell>
          <cell r="AM112">
            <v>94746466</v>
          </cell>
        </row>
        <row r="113">
          <cell r="A113">
            <v>7411257</v>
          </cell>
          <cell r="B113" t="str">
            <v>Bucket and Blade</v>
          </cell>
          <cell r="C113">
            <v>718752274</v>
          </cell>
          <cell r="G113">
            <v>8111200</v>
          </cell>
          <cell r="H113" t="str">
            <v>E.B Daily Allowance</v>
          </cell>
          <cell r="I113">
            <v>16157173</v>
          </cell>
          <cell r="J113">
            <v>8111290</v>
          </cell>
          <cell r="K113" t="str">
            <v>Drink &amp; Canteen</v>
          </cell>
          <cell r="L113">
            <v>256199142</v>
          </cell>
          <cell r="M113">
            <v>7421440</v>
          </cell>
          <cell r="N113" t="str">
            <v>SRE Sal OT DT Driver</v>
          </cell>
          <cell r="O113">
            <v>84283090</v>
          </cell>
          <cell r="P113">
            <v>7421440</v>
          </cell>
          <cell r="Q113" t="str">
            <v>SRE Sal OT DT Driver</v>
          </cell>
          <cell r="R113">
            <v>88307933</v>
          </cell>
          <cell r="S113">
            <v>7431110</v>
          </cell>
          <cell r="T113" t="str">
            <v>SRE Delivery Revisit</v>
          </cell>
          <cell r="U113">
            <v>324512955</v>
          </cell>
          <cell r="V113">
            <v>7421240</v>
          </cell>
          <cell r="W113" t="str">
            <v>SRE Svc Small Tool</v>
          </cell>
          <cell r="X113">
            <v>394399908</v>
          </cell>
          <cell r="Y113">
            <v>7421250</v>
          </cell>
          <cell r="Z113" t="str">
            <v>SRE Sv Supp int use</v>
          </cell>
          <cell r="AA113">
            <v>8193250</v>
          </cell>
          <cell r="AB113">
            <v>7421250</v>
          </cell>
          <cell r="AC113" t="str">
            <v>SRE Sv Supp int use</v>
          </cell>
          <cell r="AD113">
            <v>6059834</v>
          </cell>
          <cell r="AE113">
            <v>7421240</v>
          </cell>
          <cell r="AF113" t="str">
            <v>SRE Svc Small Tool</v>
          </cell>
          <cell r="AG113">
            <v>249644358</v>
          </cell>
          <cell r="AH113">
            <v>7421410</v>
          </cell>
          <cell r="AI113" t="str">
            <v>SRE Sal HE Opr</v>
          </cell>
          <cell r="AJ113">
            <v>254764346</v>
          </cell>
          <cell r="AK113">
            <v>7421240</v>
          </cell>
          <cell r="AL113" t="str">
            <v>SRE Svc Small Tool</v>
          </cell>
          <cell r="AM113">
            <v>96061360</v>
          </cell>
        </row>
        <row r="114">
          <cell r="A114">
            <v>7411258</v>
          </cell>
          <cell r="B114" t="str">
            <v>Undercarriage</v>
          </cell>
          <cell r="C114">
            <v>2907278776</v>
          </cell>
          <cell r="G114">
            <v>8111240</v>
          </cell>
          <cell r="H114" t="str">
            <v>E.B House rent</v>
          </cell>
          <cell r="I114">
            <v>14455000</v>
          </cell>
          <cell r="J114">
            <v>8121110</v>
          </cell>
          <cell r="K114" t="str">
            <v>Travel Expense</v>
          </cell>
          <cell r="L114">
            <v>200441571</v>
          </cell>
          <cell r="M114">
            <v>7431110</v>
          </cell>
          <cell r="N114" t="str">
            <v>SRE Delivery Revisit</v>
          </cell>
          <cell r="O114">
            <v>475401375</v>
          </cell>
          <cell r="P114">
            <v>7431110</v>
          </cell>
          <cell r="Q114" t="str">
            <v>SRE Delivery Revisit</v>
          </cell>
          <cell r="R114">
            <v>27896788</v>
          </cell>
          <cell r="S114">
            <v>7431130</v>
          </cell>
          <cell r="T114" t="str">
            <v>SRE Mkt Sales Comm</v>
          </cell>
          <cell r="U114">
            <v>35119770</v>
          </cell>
          <cell r="V114">
            <v>7421250</v>
          </cell>
          <cell r="W114" t="str">
            <v>SRE Sv Supp int use</v>
          </cell>
          <cell r="X114">
            <v>5095950</v>
          </cell>
          <cell r="Y114">
            <v>7421410</v>
          </cell>
          <cell r="Z114" t="str">
            <v>SRE Sal HE Opr</v>
          </cell>
          <cell r="AA114">
            <v>340504277</v>
          </cell>
          <cell r="AB114">
            <v>7421410</v>
          </cell>
          <cell r="AC114" t="str">
            <v>SRE Sal HE Opr</v>
          </cell>
          <cell r="AD114">
            <v>314436196</v>
          </cell>
          <cell r="AE114">
            <v>7421250</v>
          </cell>
          <cell r="AF114" t="str">
            <v>SRE Sv Supp int use</v>
          </cell>
          <cell r="AG114">
            <v>9508150</v>
          </cell>
          <cell r="AH114">
            <v>7421420</v>
          </cell>
          <cell r="AI114" t="str">
            <v>SRE Sal OT HE Opr</v>
          </cell>
          <cell r="AJ114">
            <v>133414575</v>
          </cell>
          <cell r="AK114">
            <v>7421250</v>
          </cell>
          <cell r="AL114" t="str">
            <v>SRE Sv Supp int use</v>
          </cell>
          <cell r="AM114">
            <v>74406045</v>
          </cell>
        </row>
        <row r="115">
          <cell r="A115">
            <v>7411260</v>
          </cell>
          <cell r="B115" t="str">
            <v>Parts Consumed</v>
          </cell>
          <cell r="C115">
            <v>2409681341</v>
          </cell>
          <cell r="G115">
            <v>8111255</v>
          </cell>
          <cell r="H115" t="str">
            <v>E.B PhoneTaxDisallow</v>
          </cell>
          <cell r="I115">
            <v>0</v>
          </cell>
          <cell r="J115">
            <v>8121150</v>
          </cell>
          <cell r="K115" t="str">
            <v>Moving Expense</v>
          </cell>
          <cell r="L115">
            <v>3249000</v>
          </cell>
          <cell r="M115">
            <v>7431130</v>
          </cell>
          <cell r="N115" t="str">
            <v>SRE Mkt Sales Comm</v>
          </cell>
          <cell r="O115">
            <v>26438496</v>
          </cell>
          <cell r="P115">
            <v>7431130</v>
          </cell>
          <cell r="Q115" t="str">
            <v>SRE Mkt Sales Comm</v>
          </cell>
          <cell r="R115">
            <v>21631422</v>
          </cell>
          <cell r="S115">
            <v>8111110</v>
          </cell>
          <cell r="T115" t="str">
            <v>Compensation</v>
          </cell>
          <cell r="U115">
            <v>1206468618</v>
          </cell>
          <cell r="V115">
            <v>7421410</v>
          </cell>
          <cell r="W115" t="str">
            <v>SRE Sal HE Opr</v>
          </cell>
          <cell r="X115">
            <v>250968962</v>
          </cell>
          <cell r="Y115">
            <v>7421420</v>
          </cell>
          <cell r="Z115" t="str">
            <v>SRE Sal OT HE Opr</v>
          </cell>
          <cell r="AA115">
            <v>106538376</v>
          </cell>
          <cell r="AB115">
            <v>7421420</v>
          </cell>
          <cell r="AC115" t="str">
            <v>SRE Sal OT HE Opr</v>
          </cell>
          <cell r="AD115">
            <v>179730870</v>
          </cell>
          <cell r="AE115">
            <v>7421410</v>
          </cell>
          <cell r="AF115" t="str">
            <v>SRE Sal HE Opr</v>
          </cell>
          <cell r="AG115">
            <v>299328607</v>
          </cell>
          <cell r="AH115">
            <v>7421430</v>
          </cell>
          <cell r="AI115" t="str">
            <v>SRE Sal DT Driver</v>
          </cell>
          <cell r="AJ115">
            <v>155589770</v>
          </cell>
          <cell r="AK115">
            <v>7421410</v>
          </cell>
          <cell r="AL115" t="str">
            <v>SRE Sal HE Opr</v>
          </cell>
          <cell r="AM115">
            <v>59849106</v>
          </cell>
        </row>
        <row r="116">
          <cell r="A116">
            <v>7421160</v>
          </cell>
          <cell r="B116" t="str">
            <v>SRE Ser Sal Dir Svmn</v>
          </cell>
          <cell r="C116">
            <v>586704487</v>
          </cell>
          <cell r="G116">
            <v>8111280</v>
          </cell>
          <cell r="H116" t="str">
            <v>Workoutfits</v>
          </cell>
          <cell r="I116">
            <v>36789050</v>
          </cell>
          <cell r="J116">
            <v>8121160</v>
          </cell>
          <cell r="K116" t="str">
            <v>Entertainment</v>
          </cell>
          <cell r="L116">
            <v>1447999</v>
          </cell>
          <cell r="M116">
            <v>8111110</v>
          </cell>
          <cell r="N116" t="str">
            <v>Compensation</v>
          </cell>
          <cell r="O116">
            <v>1211170227</v>
          </cell>
          <cell r="P116">
            <v>8111110</v>
          </cell>
          <cell r="Q116" t="str">
            <v>Compensation</v>
          </cell>
          <cell r="R116">
            <v>1718664382</v>
          </cell>
          <cell r="S116">
            <v>8111170</v>
          </cell>
          <cell r="T116" t="str">
            <v>E.B Medical</v>
          </cell>
          <cell r="U116">
            <v>76405346</v>
          </cell>
          <cell r="V116">
            <v>7421420</v>
          </cell>
          <cell r="W116" t="str">
            <v>SRE Sal OT HE Opr</v>
          </cell>
          <cell r="X116">
            <v>133534842</v>
          </cell>
          <cell r="Y116">
            <v>7421430</v>
          </cell>
          <cell r="Z116" t="str">
            <v>SRE Sal DT Driver</v>
          </cell>
          <cell r="AA116">
            <v>251472411</v>
          </cell>
          <cell r="AB116">
            <v>7421430</v>
          </cell>
          <cell r="AC116" t="str">
            <v>SRE Sal DT Driver</v>
          </cell>
          <cell r="AD116">
            <v>602573678</v>
          </cell>
          <cell r="AE116">
            <v>7421420</v>
          </cell>
          <cell r="AF116" t="str">
            <v>SRE Sal OT HE Opr</v>
          </cell>
          <cell r="AG116">
            <v>179557516</v>
          </cell>
          <cell r="AH116">
            <v>7421440</v>
          </cell>
          <cell r="AI116" t="str">
            <v>SRE Sal OT DT Driver</v>
          </cell>
          <cell r="AJ116">
            <v>69923231</v>
          </cell>
          <cell r="AK116">
            <v>7421420</v>
          </cell>
          <cell r="AL116" t="str">
            <v>SRE Sal OT HE Opr</v>
          </cell>
          <cell r="AM116">
            <v>176193488</v>
          </cell>
        </row>
        <row r="117">
          <cell r="A117">
            <v>7421170</v>
          </cell>
          <cell r="B117" t="str">
            <v>SRE Sv OT Dir Svcmn</v>
          </cell>
          <cell r="C117">
            <v>42848650</v>
          </cell>
          <cell r="G117">
            <v>8111290</v>
          </cell>
          <cell r="H117" t="str">
            <v>Drink &amp; Canteen</v>
          </cell>
          <cell r="I117">
            <v>62932880</v>
          </cell>
          <cell r="J117">
            <v>8131110</v>
          </cell>
          <cell r="K117" t="str">
            <v>Vehicle Charges</v>
          </cell>
          <cell r="L117">
            <v>-123154857</v>
          </cell>
          <cell r="M117">
            <v>8111170</v>
          </cell>
          <cell r="N117" t="str">
            <v>E.B Medical</v>
          </cell>
          <cell r="O117">
            <v>68002898</v>
          </cell>
          <cell r="P117">
            <v>8111170</v>
          </cell>
          <cell r="Q117" t="str">
            <v>E.B Medical</v>
          </cell>
          <cell r="R117">
            <v>108871741</v>
          </cell>
          <cell r="S117">
            <v>8111200</v>
          </cell>
          <cell r="T117" t="str">
            <v>E.B Daily Allowance</v>
          </cell>
          <cell r="U117">
            <v>264048154</v>
          </cell>
          <cell r="V117">
            <v>7421430</v>
          </cell>
          <cell r="W117" t="str">
            <v>SRE Sal DT Driver</v>
          </cell>
          <cell r="X117">
            <v>258146847</v>
          </cell>
          <cell r="Y117">
            <v>7421440</v>
          </cell>
          <cell r="Z117" t="str">
            <v>SRE Sal OT DT Driver</v>
          </cell>
          <cell r="AA117">
            <v>89560863</v>
          </cell>
          <cell r="AB117">
            <v>7421440</v>
          </cell>
          <cell r="AC117" t="str">
            <v>SRE Sal OT DT Driver</v>
          </cell>
          <cell r="AD117">
            <v>134979370</v>
          </cell>
          <cell r="AE117">
            <v>7421430</v>
          </cell>
          <cell r="AF117" t="str">
            <v>SRE Sal DT Driver</v>
          </cell>
          <cell r="AG117">
            <v>132790239</v>
          </cell>
          <cell r="AH117">
            <v>7431110</v>
          </cell>
          <cell r="AI117" t="str">
            <v>SRE Delivery Revisit</v>
          </cell>
          <cell r="AJ117">
            <v>24570000</v>
          </cell>
          <cell r="AK117">
            <v>7421430</v>
          </cell>
          <cell r="AL117" t="str">
            <v>SRE Sal DT Driver</v>
          </cell>
          <cell r="AM117">
            <v>33433480</v>
          </cell>
        </row>
        <row r="118">
          <cell r="A118">
            <v>7421240</v>
          </cell>
          <cell r="B118" t="str">
            <v>SRE Svc Small Tool</v>
          </cell>
          <cell r="C118">
            <v>574887066</v>
          </cell>
          <cell r="G118">
            <v>8121110</v>
          </cell>
          <cell r="H118" t="str">
            <v>Travel Expense</v>
          </cell>
          <cell r="I118">
            <v>122208514</v>
          </cell>
          <cell r="J118">
            <v>8131120</v>
          </cell>
          <cell r="K118" t="str">
            <v>Vehicle Rental</v>
          </cell>
          <cell r="L118">
            <v>192668386</v>
          </cell>
          <cell r="M118">
            <v>8111200</v>
          </cell>
          <cell r="N118" t="str">
            <v>E.B Daily Allowance</v>
          </cell>
          <cell r="O118">
            <v>41404877</v>
          </cell>
          <cell r="P118">
            <v>8111200</v>
          </cell>
          <cell r="Q118" t="str">
            <v>E.B Daily Allowance</v>
          </cell>
          <cell r="R118">
            <v>63684661</v>
          </cell>
          <cell r="S118">
            <v>8111240</v>
          </cell>
          <cell r="T118" t="str">
            <v>E.B House rent</v>
          </cell>
          <cell r="U118">
            <v>13306000</v>
          </cell>
          <cell r="V118">
            <v>7421440</v>
          </cell>
          <cell r="W118" t="str">
            <v>SRE Sal OT DT Driver</v>
          </cell>
          <cell r="X118">
            <v>116999437</v>
          </cell>
          <cell r="Y118">
            <v>7431110</v>
          </cell>
          <cell r="Z118" t="str">
            <v>SRE Delivery Revisit</v>
          </cell>
          <cell r="AA118">
            <v>39046375</v>
          </cell>
          <cell r="AB118">
            <v>7431110</v>
          </cell>
          <cell r="AC118" t="str">
            <v>SRE Delivery Revisit</v>
          </cell>
          <cell r="AD118">
            <v>124581600</v>
          </cell>
          <cell r="AE118">
            <v>7421440</v>
          </cell>
          <cell r="AF118" t="str">
            <v>SRE Sal OT DT Driver</v>
          </cell>
          <cell r="AG118">
            <v>77492731</v>
          </cell>
          <cell r="AH118">
            <v>7431130</v>
          </cell>
          <cell r="AI118" t="str">
            <v>SRE Mkt Sales Comm</v>
          </cell>
          <cell r="AJ118">
            <v>13628076</v>
          </cell>
          <cell r="AK118">
            <v>7421440</v>
          </cell>
          <cell r="AL118" t="str">
            <v>SRE Sal OT DT Driver</v>
          </cell>
          <cell r="AM118">
            <v>78471710</v>
          </cell>
        </row>
        <row r="119">
          <cell r="A119">
            <v>7421250</v>
          </cell>
          <cell r="B119" t="str">
            <v>SRE Sv Supp int use</v>
          </cell>
          <cell r="C119">
            <v>334960220</v>
          </cell>
          <cell r="G119">
            <v>8121150</v>
          </cell>
          <cell r="H119" t="str">
            <v>Moving Expense</v>
          </cell>
          <cell r="I119">
            <v>1958000</v>
          </cell>
          <cell r="J119">
            <v>8131130</v>
          </cell>
          <cell r="K119" t="str">
            <v>Vehicle Rent Tax Dis</v>
          </cell>
          <cell r="L119">
            <v>32579193</v>
          </cell>
          <cell r="M119">
            <v>8111240</v>
          </cell>
          <cell r="N119" t="str">
            <v>E.B House rent</v>
          </cell>
          <cell r="O119">
            <v>29114666</v>
          </cell>
          <cell r="P119">
            <v>8111240</v>
          </cell>
          <cell r="Q119" t="str">
            <v>E.B House rent</v>
          </cell>
          <cell r="R119">
            <v>13140666</v>
          </cell>
          <cell r="S119">
            <v>8111255</v>
          </cell>
          <cell r="T119" t="str">
            <v>E.B PhoneTaxDisallow</v>
          </cell>
          <cell r="U119">
            <v>0</v>
          </cell>
          <cell r="V119">
            <v>7431110</v>
          </cell>
          <cell r="W119" t="str">
            <v>SRE Delivery Revisit</v>
          </cell>
          <cell r="X119">
            <v>294822000</v>
          </cell>
          <cell r="Y119">
            <v>7431130</v>
          </cell>
          <cell r="Z119" t="str">
            <v>SRE Mkt Sales Comm</v>
          </cell>
          <cell r="AA119">
            <v>17209221</v>
          </cell>
          <cell r="AB119">
            <v>7431130</v>
          </cell>
          <cell r="AC119" t="str">
            <v>SRE Mkt Sales Comm</v>
          </cell>
          <cell r="AD119">
            <v>13691131</v>
          </cell>
          <cell r="AE119">
            <v>7431110</v>
          </cell>
          <cell r="AF119" t="str">
            <v>SRE Delivery Revisit</v>
          </cell>
          <cell r="AG119">
            <v>80439475</v>
          </cell>
          <cell r="AH119">
            <v>8111110</v>
          </cell>
          <cell r="AI119" t="str">
            <v>Compensation</v>
          </cell>
          <cell r="AJ119">
            <v>1323658055</v>
          </cell>
          <cell r="AK119">
            <v>7431110</v>
          </cell>
          <cell r="AL119" t="str">
            <v>SRE Delivery Revisit</v>
          </cell>
          <cell r="AM119">
            <v>38044650</v>
          </cell>
        </row>
        <row r="120">
          <cell r="A120">
            <v>7421410</v>
          </cell>
          <cell r="B120" t="str">
            <v>SRE Sal HE Opr</v>
          </cell>
          <cell r="C120">
            <v>1631305104</v>
          </cell>
          <cell r="G120">
            <v>8121160</v>
          </cell>
          <cell r="H120" t="str">
            <v>Entertainment</v>
          </cell>
          <cell r="I120">
            <v>5543253</v>
          </cell>
          <cell r="J120">
            <v>8141110</v>
          </cell>
          <cell r="K120" t="str">
            <v>Computer Charges</v>
          </cell>
          <cell r="L120">
            <v>1351500</v>
          </cell>
          <cell r="M120">
            <v>8111255</v>
          </cell>
          <cell r="N120" t="str">
            <v>E.B PhoneTaxDisallow</v>
          </cell>
          <cell r="O120">
            <v>2105000</v>
          </cell>
          <cell r="P120">
            <v>8111255</v>
          </cell>
          <cell r="Q120" t="str">
            <v>E.B PhoneTaxDisallow</v>
          </cell>
          <cell r="R120">
            <v>801000</v>
          </cell>
          <cell r="S120">
            <v>8111280</v>
          </cell>
          <cell r="T120" t="str">
            <v>Workoutfits</v>
          </cell>
          <cell r="U120">
            <v>58263600</v>
          </cell>
          <cell r="V120">
            <v>7431130</v>
          </cell>
          <cell r="W120" t="str">
            <v>SRE Mkt Sales Comm</v>
          </cell>
          <cell r="X120">
            <v>12758340</v>
          </cell>
          <cell r="Y120">
            <v>8111110</v>
          </cell>
          <cell r="Z120" t="str">
            <v>Compensation</v>
          </cell>
          <cell r="AA120">
            <v>1587458809</v>
          </cell>
          <cell r="AB120">
            <v>8111110</v>
          </cell>
          <cell r="AC120" t="str">
            <v>Compensation</v>
          </cell>
          <cell r="AD120">
            <v>1571013433</v>
          </cell>
          <cell r="AE120">
            <v>7431130</v>
          </cell>
          <cell r="AF120" t="str">
            <v>SRE Mkt Sales Comm</v>
          </cell>
          <cell r="AG120">
            <v>17540600</v>
          </cell>
          <cell r="AH120">
            <v>8111170</v>
          </cell>
          <cell r="AI120" t="str">
            <v>E.B Medical</v>
          </cell>
          <cell r="AJ120">
            <v>95463289</v>
          </cell>
          <cell r="AK120">
            <v>7431130</v>
          </cell>
          <cell r="AL120" t="str">
            <v>SRE Mkt Sales Comm</v>
          </cell>
          <cell r="AM120">
            <v>15252025</v>
          </cell>
        </row>
        <row r="121">
          <cell r="A121">
            <v>7421420</v>
          </cell>
          <cell r="B121" t="str">
            <v>SRE Sal OT HE Opr</v>
          </cell>
          <cell r="C121">
            <v>1082399585</v>
          </cell>
          <cell r="G121">
            <v>8131110</v>
          </cell>
          <cell r="H121" t="str">
            <v>Vehicle Charges</v>
          </cell>
          <cell r="I121">
            <v>5000000</v>
          </cell>
          <cell r="J121">
            <v>8211110</v>
          </cell>
          <cell r="K121" t="str">
            <v>Communication Tlpn</v>
          </cell>
          <cell r="L121">
            <v>98480974</v>
          </cell>
          <cell r="M121">
            <v>8111280</v>
          </cell>
          <cell r="N121" t="str">
            <v>Workoutfits</v>
          </cell>
          <cell r="O121">
            <v>19394500</v>
          </cell>
          <cell r="P121">
            <v>8111280</v>
          </cell>
          <cell r="Q121" t="str">
            <v>Workoutfits</v>
          </cell>
          <cell r="R121">
            <v>41961500</v>
          </cell>
          <cell r="S121">
            <v>8111290</v>
          </cell>
          <cell r="T121" t="str">
            <v>Drink &amp; Canteen</v>
          </cell>
          <cell r="U121">
            <v>366945842</v>
          </cell>
          <cell r="V121">
            <v>8111110</v>
          </cell>
          <cell r="W121" t="str">
            <v>Compensation</v>
          </cell>
          <cell r="X121">
            <v>1512029868</v>
          </cell>
          <cell r="Y121">
            <v>8111170</v>
          </cell>
          <cell r="Z121" t="str">
            <v>E.B Medical</v>
          </cell>
          <cell r="AA121">
            <v>49968023</v>
          </cell>
          <cell r="AB121">
            <v>8111170</v>
          </cell>
          <cell r="AC121" t="str">
            <v>E.B Medical</v>
          </cell>
          <cell r="AD121">
            <v>110932353</v>
          </cell>
          <cell r="AE121">
            <v>8111110</v>
          </cell>
          <cell r="AF121" t="str">
            <v>Compensation</v>
          </cell>
          <cell r="AG121">
            <v>1532532749</v>
          </cell>
          <cell r="AH121">
            <v>8111200</v>
          </cell>
          <cell r="AI121" t="str">
            <v>E.B Daily Allowance</v>
          </cell>
          <cell r="AJ121">
            <v>154823108</v>
          </cell>
          <cell r="AK121">
            <v>8111110</v>
          </cell>
          <cell r="AL121" t="str">
            <v>Compensation</v>
          </cell>
          <cell r="AM121">
            <v>1827704682</v>
          </cell>
        </row>
        <row r="122">
          <cell r="A122">
            <v>7421430</v>
          </cell>
          <cell r="B122" t="str">
            <v>SRE Sal DT Driver</v>
          </cell>
          <cell r="C122">
            <v>1845279652</v>
          </cell>
          <cell r="G122">
            <v>8131120</v>
          </cell>
          <cell r="H122" t="str">
            <v>Vehicle Rental</v>
          </cell>
          <cell r="I122">
            <v>263725365</v>
          </cell>
          <cell r="J122">
            <v>8211120</v>
          </cell>
          <cell r="K122" t="str">
            <v>Telex, Fax and Radio</v>
          </cell>
          <cell r="L122">
            <v>10231088</v>
          </cell>
          <cell r="M122">
            <v>8111290</v>
          </cell>
          <cell r="N122" t="str">
            <v>Drink &amp; Canteen</v>
          </cell>
          <cell r="O122">
            <v>570542654</v>
          </cell>
          <cell r="P122">
            <v>8111290</v>
          </cell>
          <cell r="Q122" t="str">
            <v>Drink &amp; Canteen</v>
          </cell>
          <cell r="R122">
            <v>433310474</v>
          </cell>
          <cell r="S122">
            <v>8121110</v>
          </cell>
          <cell r="T122" t="str">
            <v>Travel Expense</v>
          </cell>
          <cell r="U122">
            <v>356061114</v>
          </cell>
          <cell r="V122">
            <v>8111170</v>
          </cell>
          <cell r="W122" t="str">
            <v>E.B Medical</v>
          </cell>
          <cell r="X122">
            <v>59847718</v>
          </cell>
          <cell r="Y122">
            <v>8111200</v>
          </cell>
          <cell r="Z122" t="str">
            <v>E.B Daily Allowance</v>
          </cell>
          <cell r="AA122">
            <v>-45050547</v>
          </cell>
          <cell r="AB122">
            <v>8111200</v>
          </cell>
          <cell r="AC122" t="str">
            <v>E.B Daily Allowance</v>
          </cell>
          <cell r="AD122">
            <v>151134843</v>
          </cell>
          <cell r="AE122">
            <v>8111170</v>
          </cell>
          <cell r="AF122" t="str">
            <v>E.B Medical</v>
          </cell>
          <cell r="AG122">
            <v>78983925</v>
          </cell>
          <cell r="AH122">
            <v>8111240</v>
          </cell>
          <cell r="AI122" t="str">
            <v>E.B House rent</v>
          </cell>
          <cell r="AJ122">
            <v>18563298</v>
          </cell>
          <cell r="AK122">
            <v>8111160</v>
          </cell>
          <cell r="AL122" t="str">
            <v>Coy Contri Jamsostek</v>
          </cell>
          <cell r="AM122">
            <v>0</v>
          </cell>
        </row>
        <row r="123">
          <cell r="A123">
            <v>7421440</v>
          </cell>
          <cell r="B123" t="str">
            <v>SRE Sal OT DT Driver</v>
          </cell>
          <cell r="C123">
            <v>864378614</v>
          </cell>
          <cell r="G123">
            <v>8131130</v>
          </cell>
          <cell r="H123" t="str">
            <v>Vehicle Rent Tax Dis</v>
          </cell>
          <cell r="I123">
            <v>21560000</v>
          </cell>
          <cell r="J123">
            <v>8211130</v>
          </cell>
          <cell r="K123" t="str">
            <v>Comm Mail &amp; Cour Svc</v>
          </cell>
          <cell r="L123">
            <v>2288000</v>
          </cell>
          <cell r="M123">
            <v>8121110</v>
          </cell>
          <cell r="N123" t="str">
            <v>Travel Expense</v>
          </cell>
          <cell r="O123">
            <v>104825875</v>
          </cell>
          <cell r="P123">
            <v>8121110</v>
          </cell>
          <cell r="Q123" t="str">
            <v>Travel Expense</v>
          </cell>
          <cell r="R123">
            <v>396797136</v>
          </cell>
          <cell r="S123">
            <v>8121160</v>
          </cell>
          <cell r="T123" t="str">
            <v>Entertainment</v>
          </cell>
          <cell r="U123">
            <v>37431287</v>
          </cell>
          <cell r="V123">
            <v>8111200</v>
          </cell>
          <cell r="W123" t="str">
            <v>E.B Daily Allowance</v>
          </cell>
          <cell r="X123">
            <v>114309449</v>
          </cell>
          <cell r="Y123">
            <v>8111240</v>
          </cell>
          <cell r="Z123" t="str">
            <v>E.B House rent</v>
          </cell>
          <cell r="AA123">
            <v>23277309</v>
          </cell>
          <cell r="AB123">
            <v>8111210</v>
          </cell>
          <cell r="AC123" t="str">
            <v>E.B Accident Insuran</v>
          </cell>
          <cell r="AD123">
            <v>0</v>
          </cell>
          <cell r="AE123">
            <v>8111200</v>
          </cell>
          <cell r="AF123" t="str">
            <v>E.B Daily Allowance</v>
          </cell>
          <cell r="AG123">
            <v>157279325</v>
          </cell>
          <cell r="AH123">
            <v>8111255</v>
          </cell>
          <cell r="AI123" t="str">
            <v>E.B PhoneTaxDisallow</v>
          </cell>
          <cell r="AJ123">
            <v>0</v>
          </cell>
          <cell r="AK123">
            <v>8111170</v>
          </cell>
          <cell r="AL123" t="str">
            <v>E.B Medical</v>
          </cell>
          <cell r="AM123">
            <v>146785955</v>
          </cell>
        </row>
        <row r="124">
          <cell r="A124">
            <v>7431110</v>
          </cell>
          <cell r="B124" t="str">
            <v>SRE Delivery Revisit</v>
          </cell>
          <cell r="C124">
            <v>848851790</v>
          </cell>
          <cell r="G124">
            <v>8141110</v>
          </cell>
          <cell r="H124" t="str">
            <v>Computer Charges</v>
          </cell>
          <cell r="I124">
            <v>1250000</v>
          </cell>
          <cell r="J124">
            <v>8221140</v>
          </cell>
          <cell r="K124" t="str">
            <v>Promo &amp; Ad Markt Pln</v>
          </cell>
          <cell r="L124">
            <v>7007000</v>
          </cell>
          <cell r="M124">
            <v>8121150</v>
          </cell>
          <cell r="N124" t="str">
            <v>Moving Expense</v>
          </cell>
          <cell r="O124">
            <v>0</v>
          </cell>
          <cell r="P124">
            <v>8121160</v>
          </cell>
          <cell r="Q124" t="str">
            <v>Entertainment</v>
          </cell>
          <cell r="R124">
            <v>17568418</v>
          </cell>
          <cell r="S124">
            <v>8131110</v>
          </cell>
          <cell r="T124" t="str">
            <v>Vehicle Charges</v>
          </cell>
          <cell r="U124">
            <v>0</v>
          </cell>
          <cell r="V124">
            <v>8111240</v>
          </cell>
          <cell r="W124" t="str">
            <v>E.B House rent</v>
          </cell>
          <cell r="X124">
            <v>18861037</v>
          </cell>
          <cell r="Y124">
            <v>8111280</v>
          </cell>
          <cell r="Z124" t="str">
            <v>Workoutfits</v>
          </cell>
          <cell r="AA124">
            <v>50637850</v>
          </cell>
          <cell r="AB124">
            <v>8111240</v>
          </cell>
          <cell r="AC124" t="str">
            <v>E.B House rent</v>
          </cell>
          <cell r="AD124">
            <v>42151957</v>
          </cell>
          <cell r="AE124">
            <v>8111240</v>
          </cell>
          <cell r="AF124" t="str">
            <v>E.B House rent</v>
          </cell>
          <cell r="AG124">
            <v>9396680</v>
          </cell>
          <cell r="AH124">
            <v>8111280</v>
          </cell>
          <cell r="AI124" t="str">
            <v>Workoutfits</v>
          </cell>
          <cell r="AJ124">
            <v>11158400</v>
          </cell>
          <cell r="AK124">
            <v>8111200</v>
          </cell>
          <cell r="AL124" t="str">
            <v>E.B Daily Allowance</v>
          </cell>
          <cell r="AM124">
            <v>380261962</v>
          </cell>
        </row>
        <row r="125">
          <cell r="A125">
            <v>7431130</v>
          </cell>
          <cell r="B125" t="str">
            <v>SRE Mkt Sales Comm</v>
          </cell>
          <cell r="C125">
            <v>382827314</v>
          </cell>
          <cell r="G125">
            <v>8211110</v>
          </cell>
          <cell r="H125" t="str">
            <v>Communication Tlpn</v>
          </cell>
          <cell r="I125">
            <v>16524154</v>
          </cell>
          <cell r="J125">
            <v>8231110</v>
          </cell>
          <cell r="K125" t="str">
            <v>Conference Cost</v>
          </cell>
          <cell r="L125">
            <v>1212000</v>
          </cell>
          <cell r="M125">
            <v>8121160</v>
          </cell>
          <cell r="N125" t="str">
            <v>Entertainment</v>
          </cell>
          <cell r="O125">
            <v>11616682</v>
          </cell>
          <cell r="P125">
            <v>8131110</v>
          </cell>
          <cell r="Q125" t="str">
            <v>Vehicle Charges</v>
          </cell>
          <cell r="R125">
            <v>18323800</v>
          </cell>
          <cell r="S125">
            <v>8131120</v>
          </cell>
          <cell r="T125" t="str">
            <v>Vehicle Rental</v>
          </cell>
          <cell r="U125">
            <v>285424596</v>
          </cell>
          <cell r="V125">
            <v>8111250</v>
          </cell>
          <cell r="W125" t="str">
            <v>E.B Anniversaries</v>
          </cell>
          <cell r="X125">
            <v>1800000</v>
          </cell>
          <cell r="Y125">
            <v>8111290</v>
          </cell>
          <cell r="Z125" t="str">
            <v>Drink &amp; Canteen</v>
          </cell>
          <cell r="AA125">
            <v>1142574718</v>
          </cell>
          <cell r="AB125">
            <v>8111280</v>
          </cell>
          <cell r="AC125" t="str">
            <v>Workoutfits</v>
          </cell>
          <cell r="AD125">
            <v>32623600</v>
          </cell>
          <cell r="AE125">
            <v>8111280</v>
          </cell>
          <cell r="AF125" t="str">
            <v>Workoutfits</v>
          </cell>
          <cell r="AG125">
            <v>51548900</v>
          </cell>
          <cell r="AH125">
            <v>8111290</v>
          </cell>
          <cell r="AI125" t="str">
            <v>Drink &amp; Canteen</v>
          </cell>
          <cell r="AJ125">
            <v>423328808</v>
          </cell>
          <cell r="AK125">
            <v>8111240</v>
          </cell>
          <cell r="AL125" t="str">
            <v>E.B House rent</v>
          </cell>
          <cell r="AM125">
            <v>4040472</v>
          </cell>
        </row>
        <row r="126">
          <cell r="A126">
            <v>8111110</v>
          </cell>
          <cell r="B126" t="str">
            <v>Compensation</v>
          </cell>
          <cell r="C126">
            <v>9803076065</v>
          </cell>
          <cell r="G126">
            <v>8211120</v>
          </cell>
          <cell r="H126" t="str">
            <v>Telex, Fax and Radio</v>
          </cell>
          <cell r="I126">
            <v>101700</v>
          </cell>
          <cell r="J126">
            <v>8241120</v>
          </cell>
          <cell r="K126" t="str">
            <v>Employee Training</v>
          </cell>
          <cell r="L126">
            <v>8980473</v>
          </cell>
          <cell r="M126">
            <v>8131110</v>
          </cell>
          <cell r="N126" t="str">
            <v>Vehicle Charges</v>
          </cell>
          <cell r="O126">
            <v>0</v>
          </cell>
          <cell r="P126">
            <v>8131120</v>
          </cell>
          <cell r="Q126" t="str">
            <v>Vehicle Rental</v>
          </cell>
          <cell r="R126">
            <v>421119099</v>
          </cell>
          <cell r="S126">
            <v>8131130</v>
          </cell>
          <cell r="T126" t="str">
            <v>Vehicle Rent Tax Dis</v>
          </cell>
          <cell r="U126">
            <v>32979614</v>
          </cell>
          <cell r="V126">
            <v>8111255</v>
          </cell>
          <cell r="W126" t="str">
            <v>E.B PhoneTaxDisallow</v>
          </cell>
          <cell r="X126">
            <v>0</v>
          </cell>
          <cell r="Y126">
            <v>8121110</v>
          </cell>
          <cell r="Z126" t="str">
            <v>Travel Expense</v>
          </cell>
          <cell r="AA126">
            <v>189996769</v>
          </cell>
          <cell r="AB126">
            <v>8111290</v>
          </cell>
          <cell r="AC126" t="str">
            <v>Drink &amp; Canteen</v>
          </cell>
          <cell r="AD126">
            <v>490828527</v>
          </cell>
          <cell r="AE126">
            <v>8111290</v>
          </cell>
          <cell r="AF126" t="str">
            <v>Drink &amp; Canteen</v>
          </cell>
          <cell r="AG126">
            <v>661484906</v>
          </cell>
          <cell r="AH126">
            <v>8121110</v>
          </cell>
          <cell r="AI126" t="str">
            <v>Travel Expense</v>
          </cell>
          <cell r="AJ126">
            <v>147861524</v>
          </cell>
          <cell r="AK126">
            <v>8111250</v>
          </cell>
          <cell r="AL126" t="str">
            <v>E.B Anniversaries</v>
          </cell>
          <cell r="AM126">
            <v>0</v>
          </cell>
        </row>
        <row r="127">
          <cell r="A127">
            <v>8111170</v>
          </cell>
          <cell r="B127" t="str">
            <v>E.B Medical</v>
          </cell>
          <cell r="C127">
            <v>748344419</v>
          </cell>
          <cell r="G127">
            <v>8211130</v>
          </cell>
          <cell r="H127" t="str">
            <v>Comm Mail &amp; Cour Svc</v>
          </cell>
          <cell r="I127">
            <v>581500</v>
          </cell>
          <cell r="J127">
            <v>8251110</v>
          </cell>
          <cell r="K127" t="str">
            <v>Printing &amp; stat. exp</v>
          </cell>
          <cell r="L127">
            <v>43551705</v>
          </cell>
          <cell r="M127">
            <v>8131120</v>
          </cell>
          <cell r="N127" t="str">
            <v>Vehicle Rental</v>
          </cell>
          <cell r="O127">
            <v>80138706</v>
          </cell>
          <cell r="P127">
            <v>8131130</v>
          </cell>
          <cell r="Q127" t="str">
            <v>Vehicle Rent Tax Dis</v>
          </cell>
          <cell r="R127">
            <v>28579614</v>
          </cell>
          <cell r="S127">
            <v>8141110</v>
          </cell>
          <cell r="T127" t="str">
            <v>Computer Charges</v>
          </cell>
          <cell r="U127">
            <v>5155000</v>
          </cell>
          <cell r="V127">
            <v>8111280</v>
          </cell>
          <cell r="W127" t="str">
            <v>Workoutfits</v>
          </cell>
          <cell r="X127">
            <v>43648500</v>
          </cell>
          <cell r="Y127">
            <v>8121150</v>
          </cell>
          <cell r="Z127" t="str">
            <v>Moving Expense</v>
          </cell>
          <cell r="AA127">
            <v>0</v>
          </cell>
          <cell r="AB127">
            <v>8121110</v>
          </cell>
          <cell r="AC127" t="str">
            <v>Travel Expense</v>
          </cell>
          <cell r="AD127">
            <v>455005725</v>
          </cell>
          <cell r="AE127">
            <v>8121110</v>
          </cell>
          <cell r="AF127" t="str">
            <v>Travel Expense</v>
          </cell>
          <cell r="AG127">
            <v>207019974</v>
          </cell>
          <cell r="AH127">
            <v>8121160</v>
          </cell>
          <cell r="AI127" t="str">
            <v>Entertainment</v>
          </cell>
          <cell r="AJ127">
            <v>19414693</v>
          </cell>
          <cell r="AK127">
            <v>8111255</v>
          </cell>
          <cell r="AL127" t="str">
            <v>E.B PhoneTaxDisallow</v>
          </cell>
          <cell r="AM127">
            <v>0</v>
          </cell>
        </row>
        <row r="128">
          <cell r="A128">
            <v>8111200</v>
          </cell>
          <cell r="B128" t="str">
            <v>E.B Daily Allowance</v>
          </cell>
          <cell r="C128">
            <v>231979019</v>
          </cell>
          <cell r="G128">
            <v>8221120</v>
          </cell>
          <cell r="H128" t="str">
            <v>Promo &amp; Ad Publ</v>
          </cell>
          <cell r="I128">
            <v>2520000</v>
          </cell>
          <cell r="J128">
            <v>8261110</v>
          </cell>
          <cell r="K128" t="str">
            <v>Advisers Conslt Fee</v>
          </cell>
          <cell r="L128">
            <v>19648500</v>
          </cell>
          <cell r="M128">
            <v>8131130</v>
          </cell>
          <cell r="N128" t="str">
            <v>Vehicle Rent Tax Dis</v>
          </cell>
          <cell r="O128">
            <v>28579614</v>
          </cell>
          <cell r="P128">
            <v>8141110</v>
          </cell>
          <cell r="Q128" t="str">
            <v>Computer Charges</v>
          </cell>
          <cell r="R128">
            <v>4310000</v>
          </cell>
          <cell r="S128">
            <v>8161110</v>
          </cell>
          <cell r="T128" t="str">
            <v>Management Fee</v>
          </cell>
          <cell r="U128">
            <v>7000000</v>
          </cell>
          <cell r="V128">
            <v>8111290</v>
          </cell>
          <cell r="W128" t="str">
            <v>Drink &amp; Canteen</v>
          </cell>
          <cell r="X128">
            <v>439758768</v>
          </cell>
          <cell r="Y128">
            <v>8121160</v>
          </cell>
          <cell r="Z128" t="str">
            <v>Entertainment</v>
          </cell>
          <cell r="AA128">
            <v>12020206</v>
          </cell>
          <cell r="AB128">
            <v>8121160</v>
          </cell>
          <cell r="AC128" t="str">
            <v>Entertainment</v>
          </cell>
          <cell r="AD128">
            <v>22395369</v>
          </cell>
          <cell r="AE128">
            <v>8121160</v>
          </cell>
          <cell r="AF128" t="str">
            <v>Entertainment</v>
          </cell>
          <cell r="AG128">
            <v>6484056</v>
          </cell>
          <cell r="AH128">
            <v>8131110</v>
          </cell>
          <cell r="AI128" t="str">
            <v>Vehicle Charges</v>
          </cell>
          <cell r="AJ128">
            <v>25496550</v>
          </cell>
          <cell r="AK128">
            <v>8111280</v>
          </cell>
          <cell r="AL128" t="str">
            <v>Workoutfits</v>
          </cell>
          <cell r="AM128">
            <v>105115250</v>
          </cell>
        </row>
        <row r="129">
          <cell r="A129">
            <v>8111210</v>
          </cell>
          <cell r="B129" t="str">
            <v>E.B Accident Insuran</v>
          </cell>
          <cell r="C129">
            <v>32377608</v>
          </cell>
          <cell r="G129">
            <v>8221140</v>
          </cell>
          <cell r="H129" t="str">
            <v>Promo &amp; Ad Markt Pln</v>
          </cell>
          <cell r="I129">
            <v>12105000</v>
          </cell>
          <cell r="J129">
            <v>8261120</v>
          </cell>
          <cell r="K129" t="str">
            <v>Adviser Legal Advice</v>
          </cell>
          <cell r="L129">
            <v>300000</v>
          </cell>
          <cell r="M129">
            <v>8141110</v>
          </cell>
          <cell r="N129" t="str">
            <v>Computer Charges</v>
          </cell>
          <cell r="O129">
            <v>3897000</v>
          </cell>
          <cell r="P129">
            <v>8151120</v>
          </cell>
          <cell r="Q129" t="str">
            <v>Train Recovery Cust</v>
          </cell>
          <cell r="R129">
            <v>0</v>
          </cell>
          <cell r="S129">
            <v>8211110</v>
          </cell>
          <cell r="T129" t="str">
            <v>Communication Tlpn</v>
          </cell>
          <cell r="U129">
            <v>49041134</v>
          </cell>
          <cell r="V129">
            <v>8121110</v>
          </cell>
          <cell r="W129" t="str">
            <v>Travel Expense</v>
          </cell>
          <cell r="X129">
            <v>225057793</v>
          </cell>
          <cell r="Y129">
            <v>8131110</v>
          </cell>
          <cell r="Z129" t="str">
            <v>Vehicle Charges</v>
          </cell>
          <cell r="AA129">
            <v>12000</v>
          </cell>
          <cell r="AB129">
            <v>8131110</v>
          </cell>
          <cell r="AC129" t="str">
            <v>Vehicle Charges</v>
          </cell>
          <cell r="AD129">
            <v>16696190</v>
          </cell>
          <cell r="AE129">
            <v>8131110</v>
          </cell>
          <cell r="AF129" t="str">
            <v>Vehicle Charges</v>
          </cell>
          <cell r="AG129">
            <v>58883405</v>
          </cell>
          <cell r="AH129">
            <v>8131120</v>
          </cell>
          <cell r="AI129" t="str">
            <v>Vehicle Rental</v>
          </cell>
          <cell r="AJ129">
            <v>123253743</v>
          </cell>
          <cell r="AK129">
            <v>8111290</v>
          </cell>
          <cell r="AL129" t="str">
            <v>Drink &amp; Canteen</v>
          </cell>
          <cell r="AM129">
            <v>871293027</v>
          </cell>
        </row>
        <row r="130">
          <cell r="A130">
            <v>8111240</v>
          </cell>
          <cell r="B130" t="str">
            <v>E.B House rent</v>
          </cell>
          <cell r="C130">
            <v>181648457</v>
          </cell>
          <cell r="G130">
            <v>8231110</v>
          </cell>
          <cell r="H130" t="str">
            <v>Conference Cost</v>
          </cell>
          <cell r="I130">
            <v>33727111</v>
          </cell>
          <cell r="J130">
            <v>8261150</v>
          </cell>
          <cell r="K130" t="str">
            <v>Advisers Audit Fee</v>
          </cell>
          <cell r="L130">
            <v>0</v>
          </cell>
          <cell r="M130">
            <v>8151120</v>
          </cell>
          <cell r="N130" t="str">
            <v>Train Recovery Cust</v>
          </cell>
          <cell r="O130">
            <v>0</v>
          </cell>
          <cell r="P130">
            <v>8161110</v>
          </cell>
          <cell r="Q130" t="str">
            <v>Management Fee</v>
          </cell>
          <cell r="R130">
            <v>7000000</v>
          </cell>
          <cell r="S130">
            <v>8211120</v>
          </cell>
          <cell r="T130" t="str">
            <v>Telex, Fax and Radio</v>
          </cell>
          <cell r="U130">
            <v>21908055</v>
          </cell>
          <cell r="V130">
            <v>8121160</v>
          </cell>
          <cell r="W130" t="str">
            <v>Entertainment</v>
          </cell>
          <cell r="X130">
            <v>6439602</v>
          </cell>
          <cell r="Y130">
            <v>8131120</v>
          </cell>
          <cell r="Z130" t="str">
            <v>Vehicle Rental</v>
          </cell>
          <cell r="AA130">
            <v>272087538</v>
          </cell>
          <cell r="AB130">
            <v>8131120</v>
          </cell>
          <cell r="AC130" t="str">
            <v>Vehicle Rental</v>
          </cell>
          <cell r="AD130">
            <v>242000024</v>
          </cell>
          <cell r="AE130">
            <v>8131120</v>
          </cell>
          <cell r="AF130" t="str">
            <v>Vehicle Rental</v>
          </cell>
          <cell r="AG130">
            <v>177876343</v>
          </cell>
          <cell r="AH130">
            <v>8131130</v>
          </cell>
          <cell r="AI130" t="str">
            <v>Vehicle Rent Tax Dis</v>
          </cell>
          <cell r="AJ130">
            <v>23043318</v>
          </cell>
          <cell r="AK130">
            <v>8121110</v>
          </cell>
          <cell r="AL130" t="str">
            <v>Travel Expense</v>
          </cell>
          <cell r="AM130">
            <v>379968707</v>
          </cell>
        </row>
        <row r="131">
          <cell r="A131">
            <v>8111255</v>
          </cell>
          <cell r="B131" t="str">
            <v>E.B PhoneTaxDisallow</v>
          </cell>
          <cell r="C131">
            <v>48742314</v>
          </cell>
          <cell r="G131">
            <v>8241120</v>
          </cell>
          <cell r="H131" t="str">
            <v>Employee Training</v>
          </cell>
          <cell r="I131">
            <v>0</v>
          </cell>
          <cell r="J131">
            <v>8271110</v>
          </cell>
          <cell r="K131" t="str">
            <v>Donation</v>
          </cell>
          <cell r="L131">
            <v>12447927</v>
          </cell>
          <cell r="M131">
            <v>8211110</v>
          </cell>
          <cell r="N131" t="str">
            <v>Communication Tlpn</v>
          </cell>
          <cell r="O131">
            <v>4180515</v>
          </cell>
          <cell r="P131">
            <v>8211110</v>
          </cell>
          <cell r="Q131" t="str">
            <v>Communication Tlpn</v>
          </cell>
          <cell r="R131">
            <v>81532453</v>
          </cell>
          <cell r="S131">
            <v>8211130</v>
          </cell>
          <cell r="T131" t="str">
            <v>Comm Mail &amp; Cour Svc</v>
          </cell>
          <cell r="U131">
            <v>8744750</v>
          </cell>
          <cell r="V131">
            <v>8131110</v>
          </cell>
          <cell r="W131" t="str">
            <v>Vehicle Charges</v>
          </cell>
          <cell r="X131">
            <v>3883300</v>
          </cell>
          <cell r="Y131">
            <v>8131130</v>
          </cell>
          <cell r="Z131" t="str">
            <v>Vehicle Rent Tax Dis</v>
          </cell>
          <cell r="AA131">
            <v>32979614</v>
          </cell>
          <cell r="AB131">
            <v>8131130</v>
          </cell>
          <cell r="AC131" t="str">
            <v>Vehicle Rent Tax Dis</v>
          </cell>
          <cell r="AD131">
            <v>28579614</v>
          </cell>
          <cell r="AE131">
            <v>8131130</v>
          </cell>
          <cell r="AF131" t="str">
            <v>Vehicle Rent Tax Dis</v>
          </cell>
          <cell r="AG131">
            <v>46219630</v>
          </cell>
          <cell r="AH131">
            <v>8141110</v>
          </cell>
          <cell r="AI131" t="str">
            <v>Computer Charges</v>
          </cell>
          <cell r="AJ131">
            <v>350000</v>
          </cell>
          <cell r="AK131">
            <v>8121160</v>
          </cell>
          <cell r="AL131" t="str">
            <v>Entertainment</v>
          </cell>
          <cell r="AM131">
            <v>28325065</v>
          </cell>
        </row>
        <row r="132">
          <cell r="A132">
            <v>8111280</v>
          </cell>
          <cell r="B132" t="str">
            <v>Workoutfits</v>
          </cell>
          <cell r="C132">
            <v>248125575</v>
          </cell>
          <cell r="G132">
            <v>8251110</v>
          </cell>
          <cell r="H132" t="str">
            <v>Printing &amp; stat. exp</v>
          </cell>
          <cell r="I132">
            <v>25606196</v>
          </cell>
          <cell r="J132">
            <v>8271150</v>
          </cell>
          <cell r="K132" t="str">
            <v>OH Others Lic &amp; Levs</v>
          </cell>
          <cell r="L132">
            <v>5135000</v>
          </cell>
          <cell r="M132">
            <v>8211120</v>
          </cell>
          <cell r="N132" t="str">
            <v>Telex, Fax and Radio</v>
          </cell>
          <cell r="O132">
            <v>1025788</v>
          </cell>
          <cell r="P132">
            <v>8211120</v>
          </cell>
          <cell r="Q132" t="str">
            <v>Telex, Fax and Radio</v>
          </cell>
          <cell r="R132">
            <v>39476296</v>
          </cell>
          <cell r="S132">
            <v>8221140</v>
          </cell>
          <cell r="T132" t="str">
            <v>Promo &amp; Ad Markt Pln</v>
          </cell>
          <cell r="U132">
            <v>15500000</v>
          </cell>
          <cell r="V132">
            <v>8131120</v>
          </cell>
          <cell r="W132" t="str">
            <v>Vehicle Rental</v>
          </cell>
          <cell r="X132">
            <v>448150531</v>
          </cell>
          <cell r="Y132">
            <v>8141110</v>
          </cell>
          <cell r="Z132" t="str">
            <v>Computer Charges</v>
          </cell>
          <cell r="AA132">
            <v>12982424</v>
          </cell>
          <cell r="AB132">
            <v>8141110</v>
          </cell>
          <cell r="AC132" t="str">
            <v>Computer Charges</v>
          </cell>
          <cell r="AD132">
            <v>987500</v>
          </cell>
          <cell r="AE132">
            <v>8141110</v>
          </cell>
          <cell r="AF132" t="str">
            <v>Computer Charges</v>
          </cell>
          <cell r="AG132">
            <v>965000</v>
          </cell>
          <cell r="AH132">
            <v>8161110</v>
          </cell>
          <cell r="AI132" t="str">
            <v>Management Fee</v>
          </cell>
          <cell r="AJ132">
            <v>34000000</v>
          </cell>
          <cell r="AK132">
            <v>8131110</v>
          </cell>
          <cell r="AL132" t="str">
            <v>Vehicle Charges</v>
          </cell>
          <cell r="AM132">
            <v>43247123</v>
          </cell>
        </row>
        <row r="133">
          <cell r="A133">
            <v>8111290</v>
          </cell>
          <cell r="B133" t="str">
            <v>Drink &amp; Canteen</v>
          </cell>
          <cell r="C133">
            <v>2430022140</v>
          </cell>
          <cell r="G133">
            <v>8261120</v>
          </cell>
          <cell r="H133" t="str">
            <v>Adviser Legal Advice</v>
          </cell>
          <cell r="I133">
            <v>30000000</v>
          </cell>
          <cell r="J133">
            <v>8271160</v>
          </cell>
          <cell r="K133" t="str">
            <v>OH Others Recruitm</v>
          </cell>
          <cell r="L133">
            <v>7696000</v>
          </cell>
          <cell r="M133">
            <v>8211130</v>
          </cell>
          <cell r="N133" t="str">
            <v>Comm Mail &amp; Cour Svc</v>
          </cell>
          <cell r="O133">
            <v>14495944</v>
          </cell>
          <cell r="P133">
            <v>8211130</v>
          </cell>
          <cell r="Q133" t="str">
            <v>Comm Mail &amp; Cour Svc</v>
          </cell>
          <cell r="R133">
            <v>9393350</v>
          </cell>
          <cell r="S133">
            <v>8231110</v>
          </cell>
          <cell r="T133" t="str">
            <v>Conference Cost</v>
          </cell>
          <cell r="U133">
            <v>3287515</v>
          </cell>
          <cell r="V133">
            <v>8131130</v>
          </cell>
          <cell r="W133" t="str">
            <v>Vehicle Rent Tax Dis</v>
          </cell>
          <cell r="X133">
            <v>32979614</v>
          </cell>
          <cell r="Y133">
            <v>8161110</v>
          </cell>
          <cell r="Z133" t="str">
            <v>Management Fee</v>
          </cell>
          <cell r="AA133">
            <v>17000000</v>
          </cell>
          <cell r="AB133">
            <v>8211110</v>
          </cell>
          <cell r="AC133" t="str">
            <v>Communication Tlpn</v>
          </cell>
          <cell r="AD133">
            <v>125843719</v>
          </cell>
          <cell r="AE133">
            <v>8161110</v>
          </cell>
          <cell r="AF133" t="str">
            <v>Management Fee</v>
          </cell>
          <cell r="AG133">
            <v>34000000</v>
          </cell>
          <cell r="AH133">
            <v>8211110</v>
          </cell>
          <cell r="AI133" t="str">
            <v>Communication Tlpn</v>
          </cell>
          <cell r="AJ133">
            <v>20845463</v>
          </cell>
          <cell r="AK133">
            <v>8131120</v>
          </cell>
          <cell r="AL133" t="str">
            <v>Vehicle Rental</v>
          </cell>
          <cell r="AM133">
            <v>343370195</v>
          </cell>
        </row>
        <row r="134">
          <cell r="A134">
            <v>8121110</v>
          </cell>
          <cell r="B134" t="str">
            <v>Travel Expense</v>
          </cell>
          <cell r="C134">
            <v>2007018313</v>
          </cell>
          <cell r="G134">
            <v>8271110</v>
          </cell>
          <cell r="H134" t="str">
            <v>Donation</v>
          </cell>
          <cell r="I134">
            <v>1800000</v>
          </cell>
          <cell r="J134">
            <v>8271170</v>
          </cell>
          <cell r="K134" t="str">
            <v>OH Oths Non All Item</v>
          </cell>
          <cell r="L134">
            <v>5170500</v>
          </cell>
          <cell r="M134">
            <v>8221140</v>
          </cell>
          <cell r="N134" t="str">
            <v>Promo &amp; Ad Markt Pln</v>
          </cell>
          <cell r="O134">
            <v>7389676</v>
          </cell>
          <cell r="P134">
            <v>8221140</v>
          </cell>
          <cell r="Q134" t="str">
            <v>Promo &amp; Ad Markt Pln</v>
          </cell>
          <cell r="R134">
            <v>31450000</v>
          </cell>
          <cell r="S134">
            <v>8241120</v>
          </cell>
          <cell r="T134" t="str">
            <v>Employee Training</v>
          </cell>
          <cell r="U134">
            <v>24965994</v>
          </cell>
          <cell r="V134">
            <v>8141110</v>
          </cell>
          <cell r="W134" t="str">
            <v>Computer Charges</v>
          </cell>
          <cell r="X134">
            <v>11890900</v>
          </cell>
          <cell r="Y134">
            <v>8211110</v>
          </cell>
          <cell r="Z134" t="str">
            <v>Communication Tlpn</v>
          </cell>
          <cell r="AA134">
            <v>50801238</v>
          </cell>
          <cell r="AB134">
            <v>8211120</v>
          </cell>
          <cell r="AC134" t="str">
            <v>Telex, Fax and Radio</v>
          </cell>
          <cell r="AD134">
            <v>2371108</v>
          </cell>
          <cell r="AE134">
            <v>8211110</v>
          </cell>
          <cell r="AF134" t="str">
            <v>Communication Tlpn</v>
          </cell>
          <cell r="AG134">
            <v>143173649</v>
          </cell>
          <cell r="AH134">
            <v>8211120</v>
          </cell>
          <cell r="AI134" t="str">
            <v>Telex, Fax and Radio</v>
          </cell>
          <cell r="AJ134">
            <v>16061400</v>
          </cell>
          <cell r="AK134">
            <v>8131130</v>
          </cell>
          <cell r="AL134" t="str">
            <v>Vehicle Rent Tax Dis</v>
          </cell>
          <cell r="AM134">
            <v>46371470</v>
          </cell>
        </row>
        <row r="135">
          <cell r="A135">
            <v>8121150</v>
          </cell>
          <cell r="B135" t="str">
            <v>Moving Expense</v>
          </cell>
          <cell r="C135">
            <v>6355000</v>
          </cell>
          <cell r="G135">
            <v>8271160</v>
          </cell>
          <cell r="H135" t="str">
            <v>OH Others Recruitm</v>
          </cell>
          <cell r="I135">
            <v>1738400</v>
          </cell>
          <cell r="J135">
            <v>8311110</v>
          </cell>
          <cell r="K135" t="str">
            <v>Facilities Charges</v>
          </cell>
          <cell r="L135">
            <v>496800</v>
          </cell>
          <cell r="M135">
            <v>8231110</v>
          </cell>
          <cell r="N135" t="str">
            <v>Conference Cost</v>
          </cell>
          <cell r="O135">
            <v>3758000</v>
          </cell>
          <cell r="P135">
            <v>8231110</v>
          </cell>
          <cell r="Q135" t="str">
            <v>Conference Cost</v>
          </cell>
          <cell r="R135">
            <v>5825100</v>
          </cell>
          <cell r="S135">
            <v>8251110</v>
          </cell>
          <cell r="T135" t="str">
            <v>Printing &amp; stat. exp</v>
          </cell>
          <cell r="U135">
            <v>32617889</v>
          </cell>
          <cell r="V135">
            <v>8161110</v>
          </cell>
          <cell r="W135" t="str">
            <v>Management Fee</v>
          </cell>
          <cell r="X135">
            <v>24000000</v>
          </cell>
          <cell r="Y135">
            <v>8211120</v>
          </cell>
          <cell r="Z135" t="str">
            <v>Telex, Fax and Radio</v>
          </cell>
          <cell r="AA135">
            <v>5573900</v>
          </cell>
          <cell r="AB135">
            <v>8211130</v>
          </cell>
          <cell r="AC135" t="str">
            <v>Comm Mail &amp; Cour Svc</v>
          </cell>
          <cell r="AD135">
            <v>7328725</v>
          </cell>
          <cell r="AE135">
            <v>8211120</v>
          </cell>
          <cell r="AF135" t="str">
            <v>Telex, Fax and Radio</v>
          </cell>
          <cell r="AG135">
            <v>711100</v>
          </cell>
          <cell r="AH135">
            <v>8211130</v>
          </cell>
          <cell r="AI135" t="str">
            <v>Comm Mail &amp; Cour Svc</v>
          </cell>
          <cell r="AJ135">
            <v>4301000</v>
          </cell>
          <cell r="AK135">
            <v>8211110</v>
          </cell>
          <cell r="AL135" t="str">
            <v>Communication Tlpn</v>
          </cell>
          <cell r="AM135">
            <v>191178457</v>
          </cell>
        </row>
        <row r="136">
          <cell r="A136">
            <v>8121160</v>
          </cell>
          <cell r="B136" t="str">
            <v>Entertainment</v>
          </cell>
          <cell r="C136">
            <v>141804890</v>
          </cell>
          <cell r="G136">
            <v>8271170</v>
          </cell>
          <cell r="H136" t="str">
            <v>OH Oths Non All Item</v>
          </cell>
          <cell r="I136">
            <v>2799500</v>
          </cell>
          <cell r="J136">
            <v>8321110</v>
          </cell>
          <cell r="K136" t="str">
            <v>Comm Vehicle Chrg</v>
          </cell>
          <cell r="L136">
            <v>287564220</v>
          </cell>
          <cell r="M136">
            <v>8241120</v>
          </cell>
          <cell r="N136" t="str">
            <v>Employee Training</v>
          </cell>
          <cell r="O136">
            <v>1000000</v>
          </cell>
          <cell r="P136">
            <v>8241120</v>
          </cell>
          <cell r="Q136" t="str">
            <v>Employee Training</v>
          </cell>
          <cell r="R136">
            <v>-835000</v>
          </cell>
          <cell r="S136">
            <v>8261110</v>
          </cell>
          <cell r="T136" t="str">
            <v>Advisers Conslt Fee</v>
          </cell>
          <cell r="U136">
            <v>30411053</v>
          </cell>
          <cell r="V136">
            <v>8211110</v>
          </cell>
          <cell r="W136" t="str">
            <v>Communication Tlpn</v>
          </cell>
          <cell r="X136">
            <v>38865850</v>
          </cell>
          <cell r="Y136">
            <v>8211130</v>
          </cell>
          <cell r="Z136" t="str">
            <v>Comm Mail &amp; Cour Svc</v>
          </cell>
          <cell r="AA136">
            <v>2313500</v>
          </cell>
          <cell r="AB136">
            <v>8221120</v>
          </cell>
          <cell r="AC136" t="str">
            <v>Promo &amp; Ad Publ</v>
          </cell>
          <cell r="AD136">
            <v>3275000</v>
          </cell>
          <cell r="AE136">
            <v>8211130</v>
          </cell>
          <cell r="AF136" t="str">
            <v>Comm Mail &amp; Cour Svc</v>
          </cell>
          <cell r="AG136">
            <v>4041244</v>
          </cell>
          <cell r="AH136">
            <v>8221140</v>
          </cell>
          <cell r="AI136" t="str">
            <v>Promo &amp; Ad Markt Pln</v>
          </cell>
          <cell r="AJ136">
            <v>50000000</v>
          </cell>
          <cell r="AK136">
            <v>8211120</v>
          </cell>
          <cell r="AL136" t="str">
            <v>Telex, Fax and Radio</v>
          </cell>
          <cell r="AM136">
            <v>22271759</v>
          </cell>
        </row>
        <row r="137">
          <cell r="A137">
            <v>8131110</v>
          </cell>
          <cell r="B137" t="str">
            <v>Vehicle Charges</v>
          </cell>
          <cell r="C137">
            <v>218653120</v>
          </cell>
          <cell r="G137">
            <v>8311110</v>
          </cell>
          <cell r="H137" t="str">
            <v>Facilities Charges</v>
          </cell>
          <cell r="I137">
            <v>496800</v>
          </cell>
          <cell r="J137">
            <v>8331110</v>
          </cell>
          <cell r="K137" t="str">
            <v>IT Charges</v>
          </cell>
          <cell r="L137">
            <v>61542550</v>
          </cell>
          <cell r="M137">
            <v>8251110</v>
          </cell>
          <cell r="N137" t="str">
            <v>Printing &amp; stat. exp</v>
          </cell>
          <cell r="O137">
            <v>301122</v>
          </cell>
          <cell r="P137">
            <v>8251110</v>
          </cell>
          <cell r="Q137" t="str">
            <v>Printing &amp; stat. exp</v>
          </cell>
          <cell r="R137">
            <v>39569755</v>
          </cell>
          <cell r="S137">
            <v>8261120</v>
          </cell>
          <cell r="T137" t="str">
            <v>Adviser Legal Advice</v>
          </cell>
          <cell r="U137">
            <v>414325284</v>
          </cell>
          <cell r="V137">
            <v>8211120</v>
          </cell>
          <cell r="W137" t="str">
            <v>Telex, Fax and Radio</v>
          </cell>
          <cell r="X137">
            <v>1875635</v>
          </cell>
          <cell r="Y137">
            <v>8221120</v>
          </cell>
          <cell r="Z137" t="str">
            <v>Promo &amp; Ad Publ</v>
          </cell>
          <cell r="AA137">
            <v>800000</v>
          </cell>
          <cell r="AB137">
            <v>8221140</v>
          </cell>
          <cell r="AC137" t="str">
            <v>Promo &amp; Ad Markt Pln</v>
          </cell>
          <cell r="AD137">
            <v>21894000</v>
          </cell>
          <cell r="AE137">
            <v>8221140</v>
          </cell>
          <cell r="AF137" t="str">
            <v>Promo &amp; Ad Markt Pln</v>
          </cell>
          <cell r="AG137">
            <v>57535000</v>
          </cell>
          <cell r="AH137">
            <v>8231110</v>
          </cell>
          <cell r="AI137" t="str">
            <v>Conference Cost</v>
          </cell>
          <cell r="AJ137">
            <v>29400</v>
          </cell>
          <cell r="AK137">
            <v>8211130</v>
          </cell>
          <cell r="AL137" t="str">
            <v>Comm Mail &amp; Cour Svc</v>
          </cell>
          <cell r="AM137">
            <v>7390096</v>
          </cell>
        </row>
        <row r="138">
          <cell r="A138">
            <v>8131120</v>
          </cell>
          <cell r="B138" t="str">
            <v>Vehicle Rental</v>
          </cell>
          <cell r="C138">
            <v>1734638815</v>
          </cell>
          <cell r="G138">
            <v>8321110</v>
          </cell>
          <cell r="H138" t="str">
            <v>Comm Vehicle Chrg</v>
          </cell>
          <cell r="I138">
            <v>103200000</v>
          </cell>
          <cell r="J138">
            <v>8411110</v>
          </cell>
          <cell r="K138" t="str">
            <v>Office Rental</v>
          </cell>
          <cell r="L138">
            <v>33374000</v>
          </cell>
          <cell r="M138">
            <v>8261110</v>
          </cell>
          <cell r="N138" t="str">
            <v>Advisers Conslt Fee</v>
          </cell>
          <cell r="O138">
            <v>19640000</v>
          </cell>
          <cell r="P138">
            <v>8261110</v>
          </cell>
          <cell r="Q138" t="str">
            <v>Advisers Conslt Fee</v>
          </cell>
          <cell r="R138">
            <v>21717000</v>
          </cell>
          <cell r="S138">
            <v>8271110</v>
          </cell>
          <cell r="T138" t="str">
            <v>Donation</v>
          </cell>
          <cell r="U138">
            <v>11013000</v>
          </cell>
          <cell r="V138">
            <v>8211130</v>
          </cell>
          <cell r="W138" t="str">
            <v>Comm Mail &amp; Cour Svc</v>
          </cell>
          <cell r="X138">
            <v>4537800</v>
          </cell>
          <cell r="Y138">
            <v>8221140</v>
          </cell>
          <cell r="Z138" t="str">
            <v>Promo &amp; Ad Markt Pln</v>
          </cell>
          <cell r="AA138">
            <v>34450000</v>
          </cell>
          <cell r="AB138">
            <v>8231110</v>
          </cell>
          <cell r="AC138" t="str">
            <v>Conference Cost</v>
          </cell>
          <cell r="AD138">
            <v>0</v>
          </cell>
          <cell r="AE138">
            <v>8231110</v>
          </cell>
          <cell r="AF138" t="str">
            <v>Conference Cost</v>
          </cell>
          <cell r="AG138">
            <v>7855975</v>
          </cell>
          <cell r="AH138">
            <v>8241120</v>
          </cell>
          <cell r="AI138" t="str">
            <v>Employee Training</v>
          </cell>
          <cell r="AJ138">
            <v>2999000</v>
          </cell>
          <cell r="AK138">
            <v>8221120</v>
          </cell>
          <cell r="AL138" t="str">
            <v>Promo &amp; Ad Publ</v>
          </cell>
          <cell r="AM138">
            <v>7100000</v>
          </cell>
        </row>
        <row r="139">
          <cell r="A139">
            <v>8131130</v>
          </cell>
          <cell r="B139" t="str">
            <v>Vehicle Rent Tax Dis</v>
          </cell>
          <cell r="C139">
            <v>235840000</v>
          </cell>
          <cell r="G139">
            <v>8331110</v>
          </cell>
          <cell r="H139" t="str">
            <v>IT Charges</v>
          </cell>
          <cell r="I139">
            <v>65295000</v>
          </cell>
          <cell r="J139">
            <v>8421110</v>
          </cell>
          <cell r="K139" t="str">
            <v>Deprec Land &amp; Bldg</v>
          </cell>
          <cell r="L139">
            <v>9070254</v>
          </cell>
          <cell r="M139">
            <v>8261120</v>
          </cell>
          <cell r="N139" t="str">
            <v>Adviser Legal Advice</v>
          </cell>
          <cell r="O139">
            <v>175982716</v>
          </cell>
          <cell r="P139">
            <v>8261120</v>
          </cell>
          <cell r="Q139" t="str">
            <v>Adviser Legal Advice</v>
          </cell>
          <cell r="R139">
            <v>8430000</v>
          </cell>
          <cell r="S139">
            <v>8271130</v>
          </cell>
          <cell r="T139" t="str">
            <v>Tender Expenses</v>
          </cell>
          <cell r="U139">
            <v>7500000</v>
          </cell>
          <cell r="V139">
            <v>8221140</v>
          </cell>
          <cell r="W139" t="str">
            <v>Promo &amp; Ad Markt Pln</v>
          </cell>
          <cell r="X139">
            <v>40000000</v>
          </cell>
          <cell r="Y139">
            <v>8231110</v>
          </cell>
          <cell r="Z139" t="str">
            <v>Conference Cost</v>
          </cell>
          <cell r="AA139">
            <v>180560</v>
          </cell>
          <cell r="AB139">
            <v>8241120</v>
          </cell>
          <cell r="AC139" t="str">
            <v>Employee Training</v>
          </cell>
          <cell r="AD139">
            <v>9549045</v>
          </cell>
          <cell r="AE139">
            <v>8241120</v>
          </cell>
          <cell r="AF139" t="str">
            <v>Employee Training</v>
          </cell>
          <cell r="AG139">
            <v>12384524</v>
          </cell>
          <cell r="AH139">
            <v>8251110</v>
          </cell>
          <cell r="AI139" t="str">
            <v>Printing &amp; stat. exp</v>
          </cell>
          <cell r="AJ139">
            <v>39462450</v>
          </cell>
          <cell r="AK139">
            <v>8221140</v>
          </cell>
          <cell r="AL139" t="str">
            <v>Promo &amp; Ad Markt Pln</v>
          </cell>
          <cell r="AM139">
            <v>4360000</v>
          </cell>
        </row>
        <row r="140">
          <cell r="A140">
            <v>8141110</v>
          </cell>
          <cell r="B140" t="str">
            <v>Computer Charges</v>
          </cell>
          <cell r="C140">
            <v>6713000</v>
          </cell>
          <cell r="G140">
            <v>8411110</v>
          </cell>
          <cell r="H140" t="str">
            <v>Office Rental</v>
          </cell>
          <cell r="I140">
            <v>33374000</v>
          </cell>
          <cell r="J140">
            <v>8421120</v>
          </cell>
          <cell r="K140" t="str">
            <v>Deprec Plant &amp; Equip</v>
          </cell>
          <cell r="L140">
            <v>55750431</v>
          </cell>
          <cell r="M140">
            <v>8261150</v>
          </cell>
          <cell r="N140" t="str">
            <v>Advisers Audit Fee</v>
          </cell>
          <cell r="O140">
            <v>71050000</v>
          </cell>
          <cell r="P140">
            <v>8271110</v>
          </cell>
          <cell r="Q140" t="str">
            <v>Donation</v>
          </cell>
          <cell r="R140">
            <v>6310000</v>
          </cell>
          <cell r="S140">
            <v>8271150</v>
          </cell>
          <cell r="T140" t="str">
            <v>OH Others Lic &amp; Levs</v>
          </cell>
          <cell r="U140">
            <v>2250000</v>
          </cell>
          <cell r="V140">
            <v>8231110</v>
          </cell>
          <cell r="W140" t="str">
            <v>Conference Cost</v>
          </cell>
          <cell r="X140">
            <v>6571810</v>
          </cell>
          <cell r="Y140">
            <v>8241120</v>
          </cell>
          <cell r="Z140" t="str">
            <v>Employee Training</v>
          </cell>
          <cell r="AA140">
            <v>44519312</v>
          </cell>
          <cell r="AB140">
            <v>8251110</v>
          </cell>
          <cell r="AC140" t="str">
            <v>Printing &amp; stat. exp</v>
          </cell>
          <cell r="AD140">
            <v>49192900</v>
          </cell>
          <cell r="AE140">
            <v>8251110</v>
          </cell>
          <cell r="AF140" t="str">
            <v>Printing &amp; stat. exp</v>
          </cell>
          <cell r="AG140">
            <v>65298640</v>
          </cell>
          <cell r="AH140">
            <v>8261110</v>
          </cell>
          <cell r="AI140" t="str">
            <v>Advisers Conslt Fee</v>
          </cell>
          <cell r="AJ140">
            <v>51200000</v>
          </cell>
          <cell r="AK140">
            <v>8231110</v>
          </cell>
          <cell r="AL140" t="str">
            <v>Conference Cost</v>
          </cell>
          <cell r="AM140">
            <v>83036118</v>
          </cell>
        </row>
        <row r="141">
          <cell r="A141">
            <v>8151120</v>
          </cell>
          <cell r="B141" t="str">
            <v>Train Recovery Cust</v>
          </cell>
          <cell r="C141">
            <v>-49050000</v>
          </cell>
          <cell r="G141">
            <v>8421110</v>
          </cell>
          <cell r="H141" t="str">
            <v>Deprec Land &amp; Bldg</v>
          </cell>
          <cell r="I141">
            <v>9070254</v>
          </cell>
          <cell r="J141">
            <v>8421125</v>
          </cell>
          <cell r="K141" t="str">
            <v>Deprec Service Tools</v>
          </cell>
          <cell r="L141">
            <v>4442023</v>
          </cell>
          <cell r="M141">
            <v>8271110</v>
          </cell>
          <cell r="N141" t="str">
            <v>Donation</v>
          </cell>
          <cell r="O141">
            <v>2600000</v>
          </cell>
          <cell r="P141">
            <v>8271130</v>
          </cell>
          <cell r="Q141" t="str">
            <v>Tender Expenses</v>
          </cell>
          <cell r="R141">
            <v>7500000</v>
          </cell>
          <cell r="S141">
            <v>8271160</v>
          </cell>
          <cell r="T141" t="str">
            <v>OH Others Recruitm</v>
          </cell>
          <cell r="U141">
            <v>4217000</v>
          </cell>
          <cell r="V141">
            <v>8241120</v>
          </cell>
          <cell r="W141" t="str">
            <v>Employee Training</v>
          </cell>
          <cell r="X141">
            <v>33631375</v>
          </cell>
          <cell r="Y141">
            <v>8251110</v>
          </cell>
          <cell r="Z141" t="str">
            <v>Printing &amp; stat. exp</v>
          </cell>
          <cell r="AA141">
            <v>45200594</v>
          </cell>
          <cell r="AB141">
            <v>8261120</v>
          </cell>
          <cell r="AC141" t="str">
            <v>Adviser Legal Advice</v>
          </cell>
          <cell r="AD141">
            <v>179228000</v>
          </cell>
          <cell r="AE141">
            <v>8261110</v>
          </cell>
          <cell r="AF141" t="str">
            <v>Advisers Conslt Fee</v>
          </cell>
          <cell r="AG141">
            <v>32000000</v>
          </cell>
          <cell r="AH141">
            <v>8261120</v>
          </cell>
          <cell r="AI141" t="str">
            <v>Adviser Legal Advice</v>
          </cell>
          <cell r="AJ141">
            <v>56500000</v>
          </cell>
          <cell r="AK141">
            <v>8241120</v>
          </cell>
          <cell r="AL141" t="str">
            <v>Employee Training</v>
          </cell>
          <cell r="AM141">
            <v>19885952</v>
          </cell>
        </row>
        <row r="142">
          <cell r="A142">
            <v>8211110</v>
          </cell>
          <cell r="B142" t="str">
            <v>Communication Tlpn</v>
          </cell>
          <cell r="C142">
            <v>519734457</v>
          </cell>
          <cell r="G142">
            <v>8421120</v>
          </cell>
          <cell r="H142" t="str">
            <v>Deprec Plant &amp; Equip</v>
          </cell>
          <cell r="I142">
            <v>42993830</v>
          </cell>
          <cell r="J142">
            <v>8421130</v>
          </cell>
          <cell r="K142" t="str">
            <v>Deprec Rental Fleet</v>
          </cell>
          <cell r="L142">
            <v>413694521</v>
          </cell>
          <cell r="M142">
            <v>8271130</v>
          </cell>
          <cell r="N142" t="str">
            <v>Tender Expenses</v>
          </cell>
          <cell r="O142">
            <v>121034979</v>
          </cell>
          <cell r="P142">
            <v>8271150</v>
          </cell>
          <cell r="Q142" t="str">
            <v>OH Others Lic &amp; Levs</v>
          </cell>
          <cell r="R142">
            <v>4010000</v>
          </cell>
          <cell r="S142">
            <v>8271170</v>
          </cell>
          <cell r="T142" t="str">
            <v>OH Oths Non All Item</v>
          </cell>
          <cell r="U142">
            <v>2639061543</v>
          </cell>
          <cell r="V142">
            <v>8251110</v>
          </cell>
          <cell r="W142" t="str">
            <v>Printing &amp; stat. exp</v>
          </cell>
          <cell r="X142">
            <v>58872759</v>
          </cell>
          <cell r="Y142">
            <v>8261110</v>
          </cell>
          <cell r="Z142" t="str">
            <v>Advisers Conslt Fee</v>
          </cell>
          <cell r="AA142">
            <v>17184211</v>
          </cell>
          <cell r="AB142">
            <v>8271110</v>
          </cell>
          <cell r="AC142" t="str">
            <v>Donation</v>
          </cell>
          <cell r="AD142">
            <v>18108300</v>
          </cell>
          <cell r="AE142">
            <v>8261120</v>
          </cell>
          <cell r="AF142" t="str">
            <v>Adviser Legal Advice</v>
          </cell>
          <cell r="AG142">
            <v>576094338</v>
          </cell>
          <cell r="AH142">
            <v>8261150</v>
          </cell>
          <cell r="AI142" t="str">
            <v>Advisers Audit Fee</v>
          </cell>
          <cell r="AJ142">
            <v>23750000</v>
          </cell>
          <cell r="AK142">
            <v>8251110</v>
          </cell>
          <cell r="AL142" t="str">
            <v>Printing &amp; stat. exp</v>
          </cell>
          <cell r="AM142">
            <v>188377106</v>
          </cell>
        </row>
        <row r="143">
          <cell r="A143">
            <v>8211120</v>
          </cell>
          <cell r="B143" t="str">
            <v>Telex, Fax and Radio</v>
          </cell>
          <cell r="C143">
            <v>68609351</v>
          </cell>
          <cell r="G143">
            <v>8421125</v>
          </cell>
          <cell r="H143" t="str">
            <v>Deprec Service Tools</v>
          </cell>
          <cell r="I143">
            <v>4343591</v>
          </cell>
          <cell r="J143">
            <v>8421140</v>
          </cell>
          <cell r="K143" t="str">
            <v>Deprec Motor Vehicle</v>
          </cell>
          <cell r="L143">
            <v>49849080</v>
          </cell>
          <cell r="M143">
            <v>8271150</v>
          </cell>
          <cell r="N143" t="str">
            <v>OH Others Lic &amp; Levs</v>
          </cell>
          <cell r="O143">
            <v>4820000</v>
          </cell>
          <cell r="P143">
            <v>8271160</v>
          </cell>
          <cell r="Q143" t="str">
            <v>OH Others Recruitm</v>
          </cell>
          <cell r="R143">
            <v>28736000</v>
          </cell>
          <cell r="S143">
            <v>8311110</v>
          </cell>
          <cell r="T143" t="str">
            <v>Facilities Charges</v>
          </cell>
          <cell r="U143">
            <v>496800</v>
          </cell>
          <cell r="V143">
            <v>8261110</v>
          </cell>
          <cell r="W143" t="str">
            <v>Advisers Conslt Fee</v>
          </cell>
          <cell r="X143">
            <v>22000000</v>
          </cell>
          <cell r="Y143">
            <v>8261120</v>
          </cell>
          <cell r="Z143" t="str">
            <v>Adviser Legal Advice</v>
          </cell>
          <cell r="AA143">
            <v>153689964</v>
          </cell>
          <cell r="AB143">
            <v>8271130</v>
          </cell>
          <cell r="AC143" t="str">
            <v>Tender Expenses</v>
          </cell>
          <cell r="AD143">
            <v>0</v>
          </cell>
          <cell r="AE143">
            <v>8271110</v>
          </cell>
          <cell r="AF143" t="str">
            <v>Donation</v>
          </cell>
          <cell r="AG143">
            <v>10593000</v>
          </cell>
          <cell r="AH143">
            <v>8271110</v>
          </cell>
          <cell r="AI143" t="str">
            <v>Donation</v>
          </cell>
          <cell r="AJ143">
            <v>9200000</v>
          </cell>
          <cell r="AK143">
            <v>8261110</v>
          </cell>
          <cell r="AL143" t="str">
            <v>Advisers Conslt Fee</v>
          </cell>
          <cell r="AM143">
            <v>26565000</v>
          </cell>
        </row>
        <row r="144">
          <cell r="A144">
            <v>8211130</v>
          </cell>
          <cell r="B144" t="str">
            <v>Comm Mail &amp; Cour Svc</v>
          </cell>
          <cell r="C144">
            <v>18974617</v>
          </cell>
          <cell r="G144">
            <v>8421130</v>
          </cell>
          <cell r="H144" t="str">
            <v>Deprec Rental Fleet</v>
          </cell>
          <cell r="I144">
            <v>413694568</v>
          </cell>
          <cell r="J144">
            <v>8421145</v>
          </cell>
          <cell r="K144" t="str">
            <v>Dep Vhcl TaxDisallow</v>
          </cell>
          <cell r="L144">
            <v>370750</v>
          </cell>
          <cell r="M144">
            <v>8271160</v>
          </cell>
          <cell r="N144" t="str">
            <v>OH Others Recruitm</v>
          </cell>
          <cell r="O144">
            <v>7907300</v>
          </cell>
          <cell r="P144">
            <v>8271170</v>
          </cell>
          <cell r="Q144" t="str">
            <v>OH Oths Non All Item</v>
          </cell>
          <cell r="R144">
            <v>232778501</v>
          </cell>
          <cell r="S144">
            <v>8321110</v>
          </cell>
          <cell r="T144" t="str">
            <v>Comm Vehicle Chrg</v>
          </cell>
          <cell r="U144">
            <v>182248894</v>
          </cell>
          <cell r="V144">
            <v>8261120</v>
          </cell>
          <cell r="W144" t="str">
            <v>Adviser Legal Advice</v>
          </cell>
          <cell r="X144">
            <v>761448178</v>
          </cell>
          <cell r="Y144">
            <v>8271110</v>
          </cell>
          <cell r="Z144" t="str">
            <v>Donation</v>
          </cell>
          <cell r="AA144">
            <v>23877000</v>
          </cell>
          <cell r="AB144">
            <v>8271140</v>
          </cell>
          <cell r="AC144" t="str">
            <v>OH Others De &amp; Artwk</v>
          </cell>
          <cell r="AD144">
            <v>90000000</v>
          </cell>
          <cell r="AE144">
            <v>8271130</v>
          </cell>
          <cell r="AF144" t="str">
            <v>Tender Expenses</v>
          </cell>
          <cell r="AG144">
            <v>35000000</v>
          </cell>
          <cell r="AH144">
            <v>8271130</v>
          </cell>
          <cell r="AI144" t="str">
            <v>Tender Expenses</v>
          </cell>
          <cell r="AJ144">
            <v>35000000</v>
          </cell>
          <cell r="AK144">
            <v>8261120</v>
          </cell>
          <cell r="AL144" t="str">
            <v>Adviser Legal Advice</v>
          </cell>
          <cell r="AM144">
            <v>1380000</v>
          </cell>
        </row>
        <row r="145">
          <cell r="A145">
            <v>8221120</v>
          </cell>
          <cell r="B145" t="str">
            <v>Promo &amp; Ad Publ</v>
          </cell>
          <cell r="C145">
            <v>911400</v>
          </cell>
          <cell r="G145">
            <v>8421140</v>
          </cell>
          <cell r="H145" t="str">
            <v>Deprec Motor Vehicle</v>
          </cell>
          <cell r="I145">
            <v>49849088</v>
          </cell>
          <cell r="J145">
            <v>8421160</v>
          </cell>
          <cell r="K145" t="str">
            <v>Deprec Office Eq Fur</v>
          </cell>
          <cell r="L145">
            <v>4519866</v>
          </cell>
          <cell r="M145">
            <v>8271170</v>
          </cell>
          <cell r="N145" t="str">
            <v>OH Oths Non All Item</v>
          </cell>
          <cell r="O145">
            <v>34177200</v>
          </cell>
          <cell r="P145">
            <v>8311110</v>
          </cell>
          <cell r="Q145" t="str">
            <v>Facilities Charges</v>
          </cell>
          <cell r="R145">
            <v>496800</v>
          </cell>
          <cell r="S145">
            <v>8331110</v>
          </cell>
          <cell r="T145" t="str">
            <v>IT Charges</v>
          </cell>
          <cell r="U145">
            <v>67275000</v>
          </cell>
          <cell r="V145">
            <v>8261150</v>
          </cell>
          <cell r="W145" t="str">
            <v>Advisers Audit Fee</v>
          </cell>
          <cell r="X145">
            <v>0</v>
          </cell>
          <cell r="Y145">
            <v>8271130</v>
          </cell>
          <cell r="Z145" t="str">
            <v>Tender Expenses</v>
          </cell>
          <cell r="AA145">
            <v>17500000</v>
          </cell>
          <cell r="AB145">
            <v>8271150</v>
          </cell>
          <cell r="AC145" t="str">
            <v>OH Others Lic &amp; Levs</v>
          </cell>
          <cell r="AD145">
            <v>4710000</v>
          </cell>
          <cell r="AE145">
            <v>8271150</v>
          </cell>
          <cell r="AF145" t="str">
            <v>OH Others Lic &amp; Levs</v>
          </cell>
          <cell r="AG145">
            <v>3080000</v>
          </cell>
          <cell r="AH145">
            <v>8271150</v>
          </cell>
          <cell r="AI145" t="str">
            <v>OH Others Lic &amp; Levs</v>
          </cell>
          <cell r="AJ145">
            <v>650000</v>
          </cell>
          <cell r="AK145">
            <v>8271110</v>
          </cell>
          <cell r="AL145" t="str">
            <v>Donation</v>
          </cell>
          <cell r="AM145">
            <v>45476900</v>
          </cell>
        </row>
        <row r="146">
          <cell r="A146">
            <v>8221140</v>
          </cell>
          <cell r="B146" t="str">
            <v>Promo &amp; Ad Markt Pln</v>
          </cell>
          <cell r="C146">
            <v>185371500</v>
          </cell>
          <cell r="G146">
            <v>8421145</v>
          </cell>
          <cell r="H146" t="str">
            <v>Dep Vhcl TaxDisallow</v>
          </cell>
          <cell r="I146">
            <v>370750</v>
          </cell>
          <cell r="J146">
            <v>8431140</v>
          </cell>
          <cell r="K146" t="str">
            <v>Small Fixture &amp; Equi</v>
          </cell>
          <cell r="L146">
            <v>14726000</v>
          </cell>
          <cell r="M146">
            <v>8311110</v>
          </cell>
          <cell r="N146" t="str">
            <v>Facilities Charges</v>
          </cell>
          <cell r="O146">
            <v>496800</v>
          </cell>
          <cell r="P146">
            <v>8321110</v>
          </cell>
          <cell r="Q146" t="str">
            <v>Comm Vehicle Chrg</v>
          </cell>
          <cell r="R146">
            <v>412094248</v>
          </cell>
          <cell r="S146">
            <v>8411110</v>
          </cell>
          <cell r="T146" t="str">
            <v>Office Rental</v>
          </cell>
          <cell r="U146">
            <v>33374000</v>
          </cell>
          <cell r="V146">
            <v>8271110</v>
          </cell>
          <cell r="W146" t="str">
            <v>Donation</v>
          </cell>
          <cell r="X146">
            <v>7665000</v>
          </cell>
          <cell r="Y146">
            <v>8271150</v>
          </cell>
          <cell r="Z146" t="str">
            <v>OH Others Lic &amp; Levs</v>
          </cell>
          <cell r="AA146">
            <v>17010000</v>
          </cell>
          <cell r="AB146">
            <v>8271160</v>
          </cell>
          <cell r="AC146" t="str">
            <v>OH Others Recruitm</v>
          </cell>
          <cell r="AD146">
            <v>20826200</v>
          </cell>
          <cell r="AE146">
            <v>8271160</v>
          </cell>
          <cell r="AF146" t="str">
            <v>OH Others Recruitm</v>
          </cell>
          <cell r="AG146">
            <v>6230500</v>
          </cell>
          <cell r="AH146">
            <v>8271160</v>
          </cell>
          <cell r="AI146" t="str">
            <v>OH Others Recruitm</v>
          </cell>
          <cell r="AJ146">
            <v>3941000</v>
          </cell>
          <cell r="AK146">
            <v>8271150</v>
          </cell>
          <cell r="AL146" t="str">
            <v>OH Others Lic &amp; Levs</v>
          </cell>
          <cell r="AM146">
            <v>9225000</v>
          </cell>
        </row>
        <row r="147">
          <cell r="A147">
            <v>8231110</v>
          </cell>
          <cell r="B147" t="str">
            <v>Conference Cost</v>
          </cell>
          <cell r="C147">
            <v>134477097</v>
          </cell>
          <cell r="G147">
            <v>8421160</v>
          </cell>
          <cell r="H147" t="str">
            <v>Deprec Office Eq Fur</v>
          </cell>
          <cell r="I147">
            <v>4091535</v>
          </cell>
          <cell r="J147">
            <v>8431150</v>
          </cell>
          <cell r="K147" t="str">
            <v>Repair Maint Vehicle</v>
          </cell>
          <cell r="L147">
            <v>63300528</v>
          </cell>
          <cell r="M147">
            <v>8321110</v>
          </cell>
          <cell r="N147" t="str">
            <v>Comm Vehicle Chrg</v>
          </cell>
          <cell r="O147">
            <v>220043282</v>
          </cell>
          <cell r="P147">
            <v>8331110</v>
          </cell>
          <cell r="Q147" t="str">
            <v>IT Charges</v>
          </cell>
          <cell r="R147">
            <v>65583000</v>
          </cell>
          <cell r="S147">
            <v>8421110</v>
          </cell>
          <cell r="T147" t="str">
            <v>Deprec Land &amp; Bldg</v>
          </cell>
          <cell r="U147">
            <v>9070253</v>
          </cell>
          <cell r="V147">
            <v>8271130</v>
          </cell>
          <cell r="W147" t="str">
            <v>Tender Expenses</v>
          </cell>
          <cell r="X147">
            <v>25100000</v>
          </cell>
          <cell r="Y147">
            <v>8271160</v>
          </cell>
          <cell r="Z147" t="str">
            <v>OH Others Recruitm</v>
          </cell>
          <cell r="AA147">
            <v>14832000</v>
          </cell>
          <cell r="AB147">
            <v>8271170</v>
          </cell>
          <cell r="AC147" t="str">
            <v>OH Oths Non All Item</v>
          </cell>
          <cell r="AD147">
            <v>290019543</v>
          </cell>
          <cell r="AE147">
            <v>8271170</v>
          </cell>
          <cell r="AF147" t="str">
            <v>OH Oths Non All Item</v>
          </cell>
          <cell r="AG147">
            <v>564885263</v>
          </cell>
          <cell r="AH147">
            <v>8271170</v>
          </cell>
          <cell r="AI147" t="str">
            <v>OH Oths Non All Item</v>
          </cell>
          <cell r="AJ147">
            <v>470508665</v>
          </cell>
          <cell r="AK147">
            <v>8271160</v>
          </cell>
          <cell r="AL147" t="str">
            <v>OH Others Recruitm</v>
          </cell>
          <cell r="AM147">
            <v>18430396</v>
          </cell>
        </row>
        <row r="148">
          <cell r="A148">
            <v>8241120</v>
          </cell>
          <cell r="B148" t="str">
            <v>Employee Training</v>
          </cell>
          <cell r="C148">
            <v>127340504</v>
          </cell>
          <cell r="G148">
            <v>8431140</v>
          </cell>
          <cell r="H148" t="str">
            <v>Small Fixture &amp; Equi</v>
          </cell>
          <cell r="I148">
            <v>53510075</v>
          </cell>
          <cell r="J148">
            <v>8431160</v>
          </cell>
          <cell r="K148" t="str">
            <v>Repr Maint Facility</v>
          </cell>
          <cell r="L148">
            <v>3770190</v>
          </cell>
          <cell r="M148">
            <v>8331110</v>
          </cell>
          <cell r="N148" t="str">
            <v>IT Charges</v>
          </cell>
          <cell r="O148">
            <v>65871000</v>
          </cell>
          <cell r="P148">
            <v>8411110</v>
          </cell>
          <cell r="Q148" t="str">
            <v>Office Rental</v>
          </cell>
          <cell r="R148">
            <v>44264000</v>
          </cell>
          <cell r="S148">
            <v>8421120</v>
          </cell>
          <cell r="T148" t="str">
            <v>Deprec Plant &amp; Equip</v>
          </cell>
          <cell r="U148">
            <v>79143991</v>
          </cell>
          <cell r="V148">
            <v>8271150</v>
          </cell>
          <cell r="W148" t="str">
            <v>OH Others Lic &amp; Levs</v>
          </cell>
          <cell r="X148">
            <v>5270000</v>
          </cell>
          <cell r="Y148">
            <v>8271170</v>
          </cell>
          <cell r="Z148" t="str">
            <v>OH Oths Non All Item</v>
          </cell>
          <cell r="AA148">
            <v>200794993</v>
          </cell>
          <cell r="AB148">
            <v>8311110</v>
          </cell>
          <cell r="AC148" t="str">
            <v>Facilities Charges</v>
          </cell>
          <cell r="AD148">
            <v>496800</v>
          </cell>
          <cell r="AE148">
            <v>8311110</v>
          </cell>
          <cell r="AF148" t="str">
            <v>Facilities Charges</v>
          </cell>
          <cell r="AG148">
            <v>496800</v>
          </cell>
          <cell r="AH148">
            <v>8311110</v>
          </cell>
          <cell r="AI148" t="str">
            <v>Facilities Charges</v>
          </cell>
          <cell r="AJ148">
            <v>496800</v>
          </cell>
          <cell r="AK148">
            <v>8271170</v>
          </cell>
          <cell r="AL148" t="str">
            <v>OH Oths Non All Item</v>
          </cell>
          <cell r="AM148">
            <v>654654022</v>
          </cell>
        </row>
        <row r="149">
          <cell r="A149">
            <v>8251110</v>
          </cell>
          <cell r="B149" t="str">
            <v>Printing &amp; stat. exp</v>
          </cell>
          <cell r="C149">
            <v>448027349</v>
          </cell>
          <cell r="G149">
            <v>8431150</v>
          </cell>
          <cell r="H149" t="str">
            <v>Repair Maint Vehicle</v>
          </cell>
          <cell r="I149">
            <v>41595720</v>
          </cell>
          <cell r="J149">
            <v>8431170</v>
          </cell>
          <cell r="K149" t="str">
            <v>Repr Maint Gen - Act</v>
          </cell>
          <cell r="L149">
            <v>1011089250</v>
          </cell>
          <cell r="M149">
            <v>8411110</v>
          </cell>
          <cell r="N149" t="str">
            <v>Office Rental</v>
          </cell>
          <cell r="O149">
            <v>22484000</v>
          </cell>
          <cell r="P149">
            <v>8421110</v>
          </cell>
          <cell r="Q149" t="str">
            <v>Deprec Land &amp; Bldg</v>
          </cell>
          <cell r="R149">
            <v>9070255</v>
          </cell>
          <cell r="S149">
            <v>8421125</v>
          </cell>
          <cell r="T149" t="str">
            <v>Deprec Service Tools</v>
          </cell>
          <cell r="U149">
            <v>5030357</v>
          </cell>
          <cell r="V149">
            <v>8271160</v>
          </cell>
          <cell r="W149" t="str">
            <v>OH Others Recruitm</v>
          </cell>
          <cell r="X149">
            <v>10815000</v>
          </cell>
          <cell r="Y149">
            <v>8311110</v>
          </cell>
          <cell r="Z149" t="str">
            <v>Facilities Charges</v>
          </cell>
          <cell r="AA149">
            <v>496800</v>
          </cell>
          <cell r="AB149">
            <v>8321110</v>
          </cell>
          <cell r="AC149" t="str">
            <v>Comm Vehicle Chrg</v>
          </cell>
          <cell r="AD149">
            <v>207617578</v>
          </cell>
          <cell r="AE149">
            <v>8321110</v>
          </cell>
          <cell r="AF149" t="str">
            <v>Comm Vehicle Chrg</v>
          </cell>
          <cell r="AG149">
            <v>457550304</v>
          </cell>
          <cell r="AH149">
            <v>8321110</v>
          </cell>
          <cell r="AI149" t="str">
            <v>Comm Vehicle Chrg</v>
          </cell>
          <cell r="AJ149">
            <v>385296531</v>
          </cell>
          <cell r="AK149">
            <v>8311110</v>
          </cell>
          <cell r="AL149" t="str">
            <v>Facilities Charges</v>
          </cell>
          <cell r="AM149">
            <v>496800</v>
          </cell>
        </row>
        <row r="150">
          <cell r="A150">
            <v>8261110</v>
          </cell>
          <cell r="B150" t="str">
            <v>Advisers Conslt Fee</v>
          </cell>
          <cell r="C150">
            <v>403610417</v>
          </cell>
          <cell r="G150">
            <v>8431160</v>
          </cell>
          <cell r="H150" t="str">
            <v>Repr Maint Facility</v>
          </cell>
          <cell r="I150">
            <v>3603800</v>
          </cell>
          <cell r="J150">
            <v>8431190</v>
          </cell>
          <cell r="K150" t="str">
            <v>Repr Maint MARC- Act</v>
          </cell>
          <cell r="L150">
            <v>2586486676</v>
          </cell>
          <cell r="M150">
            <v>8421110</v>
          </cell>
          <cell r="N150" t="str">
            <v>Deprec Land &amp; Bldg</v>
          </cell>
          <cell r="O150">
            <v>9070253</v>
          </cell>
          <cell r="P150">
            <v>8421120</v>
          </cell>
          <cell r="Q150" t="str">
            <v>Deprec Plant &amp; Equip</v>
          </cell>
          <cell r="R150">
            <v>67540150</v>
          </cell>
          <cell r="S150">
            <v>8421130</v>
          </cell>
          <cell r="T150" t="str">
            <v>Deprec Rental Fleet</v>
          </cell>
          <cell r="U150">
            <v>1453356643</v>
          </cell>
          <cell r="V150">
            <v>8271170</v>
          </cell>
          <cell r="W150" t="str">
            <v>OH Oths Non All Item</v>
          </cell>
          <cell r="X150">
            <v>680692900</v>
          </cell>
          <cell r="Y150">
            <v>8321110</v>
          </cell>
          <cell r="Z150" t="str">
            <v>Comm Vehicle Chrg</v>
          </cell>
          <cell r="AA150">
            <v>207617578</v>
          </cell>
          <cell r="AB150">
            <v>8331110</v>
          </cell>
          <cell r="AC150" t="str">
            <v>IT Charges</v>
          </cell>
          <cell r="AD150">
            <v>82980000</v>
          </cell>
          <cell r="AE150">
            <v>8331110</v>
          </cell>
          <cell r="AF150" t="str">
            <v>IT Charges</v>
          </cell>
          <cell r="AG150">
            <v>54387000</v>
          </cell>
          <cell r="AH150">
            <v>8331110</v>
          </cell>
          <cell r="AI150" t="str">
            <v>IT Charges</v>
          </cell>
          <cell r="AJ150">
            <v>71181000</v>
          </cell>
          <cell r="AK150">
            <v>8321110</v>
          </cell>
          <cell r="AL150" t="str">
            <v>Comm Vehicle Chrg</v>
          </cell>
          <cell r="AM150">
            <v>375560358</v>
          </cell>
        </row>
        <row r="151">
          <cell r="A151">
            <v>8261120</v>
          </cell>
          <cell r="B151" t="str">
            <v>Adviser Legal Advice</v>
          </cell>
          <cell r="C151">
            <v>28661662</v>
          </cell>
          <cell r="G151">
            <v>8431170</v>
          </cell>
          <cell r="H151" t="str">
            <v>Repr Maint Gen - Act</v>
          </cell>
          <cell r="I151">
            <v>88279067</v>
          </cell>
          <cell r="J151">
            <v>8431210</v>
          </cell>
          <cell r="K151" t="str">
            <v>Repr Maint OH calc.</v>
          </cell>
          <cell r="L151">
            <v>1272223058</v>
          </cell>
          <cell r="M151">
            <v>8421120</v>
          </cell>
          <cell r="N151" t="str">
            <v>Deprec Plant &amp; Equip</v>
          </cell>
          <cell r="O151">
            <v>60865584</v>
          </cell>
          <cell r="P151">
            <v>8421125</v>
          </cell>
          <cell r="Q151" t="str">
            <v>Deprec Service Tools</v>
          </cell>
          <cell r="R151">
            <v>4755355</v>
          </cell>
          <cell r="S151">
            <v>8421140</v>
          </cell>
          <cell r="T151" t="str">
            <v>Deprec Motor Vehicle</v>
          </cell>
          <cell r="U151">
            <v>49849086</v>
          </cell>
          <cell r="V151">
            <v>8311110</v>
          </cell>
          <cell r="W151" t="str">
            <v>Facilities Charges</v>
          </cell>
          <cell r="X151">
            <v>496800</v>
          </cell>
          <cell r="Y151">
            <v>8331110</v>
          </cell>
          <cell r="Z151" t="str">
            <v>IT Charges</v>
          </cell>
          <cell r="AA151">
            <v>77355000</v>
          </cell>
          <cell r="AB151">
            <v>8411110</v>
          </cell>
          <cell r="AC151" t="str">
            <v>Office Rental</v>
          </cell>
          <cell r="AD151">
            <v>33374000</v>
          </cell>
          <cell r="AE151">
            <v>8411110</v>
          </cell>
          <cell r="AF151" t="str">
            <v>Office Rental</v>
          </cell>
          <cell r="AG151">
            <v>33374000</v>
          </cell>
          <cell r="AH151">
            <v>8411110</v>
          </cell>
          <cell r="AI151" t="str">
            <v>Office Rental</v>
          </cell>
          <cell r="AJ151">
            <v>33374000</v>
          </cell>
          <cell r="AK151">
            <v>8331110</v>
          </cell>
          <cell r="AL151" t="str">
            <v>IT Charges</v>
          </cell>
          <cell r="AM151">
            <v>71856000</v>
          </cell>
        </row>
        <row r="152">
          <cell r="A152">
            <v>8261150</v>
          </cell>
          <cell r="B152" t="str">
            <v>Advisers Audit Fee</v>
          </cell>
          <cell r="C152">
            <v>63200000</v>
          </cell>
          <cell r="G152">
            <v>8431190</v>
          </cell>
          <cell r="H152" t="str">
            <v>Repr Maint MARC- Act</v>
          </cell>
          <cell r="I152">
            <v>4663310933</v>
          </cell>
          <cell r="J152">
            <v>8432110</v>
          </cell>
          <cell r="K152" t="str">
            <v>Sub Contracting</v>
          </cell>
          <cell r="L152">
            <v>10203400</v>
          </cell>
          <cell r="M152">
            <v>8421125</v>
          </cell>
          <cell r="N152" t="str">
            <v>Deprec Service Tools</v>
          </cell>
          <cell r="O152">
            <v>4442024</v>
          </cell>
          <cell r="P152">
            <v>8421130</v>
          </cell>
          <cell r="Q152" t="str">
            <v>Deprec Rental Fleet</v>
          </cell>
          <cell r="R152">
            <v>413694526</v>
          </cell>
          <cell r="S152">
            <v>8421145</v>
          </cell>
          <cell r="T152" t="str">
            <v>Dep Vhcl TaxDisallow</v>
          </cell>
          <cell r="U152">
            <v>370750</v>
          </cell>
          <cell r="V152">
            <v>8321110</v>
          </cell>
          <cell r="W152" t="str">
            <v>Comm Vehicle Chrg</v>
          </cell>
          <cell r="X152">
            <v>194651145</v>
          </cell>
          <cell r="Y152">
            <v>8411110</v>
          </cell>
          <cell r="Z152" t="str">
            <v>Office Rental</v>
          </cell>
          <cell r="AA152">
            <v>33374000</v>
          </cell>
          <cell r="AB152">
            <v>8421110</v>
          </cell>
          <cell r="AC152" t="str">
            <v>Deprec Land &amp; Bldg</v>
          </cell>
          <cell r="AD152">
            <v>9168588</v>
          </cell>
          <cell r="AE152">
            <v>8421110</v>
          </cell>
          <cell r="AF152" t="str">
            <v>Deprec Land &amp; Bldg</v>
          </cell>
          <cell r="AG152">
            <v>9168586</v>
          </cell>
          <cell r="AH152">
            <v>8421110</v>
          </cell>
          <cell r="AI152" t="str">
            <v>Deprec Land &amp; Bldg</v>
          </cell>
          <cell r="AJ152">
            <v>9211523</v>
          </cell>
          <cell r="AK152">
            <v>8411110</v>
          </cell>
          <cell r="AL152" t="str">
            <v>Office Rental</v>
          </cell>
          <cell r="AM152">
            <v>33374000</v>
          </cell>
        </row>
        <row r="153">
          <cell r="A153">
            <v>8271110</v>
          </cell>
          <cell r="B153" t="str">
            <v>Donation</v>
          </cell>
          <cell r="C153">
            <v>58113911</v>
          </cell>
          <cell r="G153">
            <v>8431210</v>
          </cell>
          <cell r="H153" t="str">
            <v>Repr Maint OH calc.</v>
          </cell>
          <cell r="I153">
            <v>1113158149</v>
          </cell>
          <cell r="J153">
            <v>8441110</v>
          </cell>
          <cell r="K153" t="str">
            <v>Inf Software Mnt Fee</v>
          </cell>
          <cell r="L153">
            <v>3684250</v>
          </cell>
          <cell r="M153">
            <v>8421130</v>
          </cell>
          <cell r="N153" t="str">
            <v>Deprec Rental Fleet</v>
          </cell>
          <cell r="O153">
            <v>413694534</v>
          </cell>
          <cell r="P153">
            <v>8421140</v>
          </cell>
          <cell r="Q153" t="str">
            <v>Deprec Motor Vehicle</v>
          </cell>
          <cell r="R153">
            <v>49849087</v>
          </cell>
          <cell r="S153">
            <v>8421160</v>
          </cell>
          <cell r="T153" t="str">
            <v>Deprec Office Eq Fur</v>
          </cell>
          <cell r="U153">
            <v>5069865</v>
          </cell>
          <cell r="V153">
            <v>8331110</v>
          </cell>
          <cell r="W153" t="str">
            <v>IT Charges</v>
          </cell>
          <cell r="X153">
            <v>85635000</v>
          </cell>
          <cell r="Y153">
            <v>8421110</v>
          </cell>
          <cell r="Z153" t="str">
            <v>Deprec Land &amp; Bldg</v>
          </cell>
          <cell r="AA153">
            <v>9168587</v>
          </cell>
          <cell r="AB153">
            <v>8421120</v>
          </cell>
          <cell r="AC153" t="str">
            <v>Deprec Plant &amp; Equip</v>
          </cell>
          <cell r="AD153">
            <v>92163585</v>
          </cell>
          <cell r="AE153">
            <v>8421120</v>
          </cell>
          <cell r="AF153" t="str">
            <v>Deprec Plant &amp; Equip</v>
          </cell>
          <cell r="AG153">
            <v>96960799</v>
          </cell>
          <cell r="AH153">
            <v>8421120</v>
          </cell>
          <cell r="AI153" t="str">
            <v>Deprec Plant &amp; Equip</v>
          </cell>
          <cell r="AJ153">
            <v>105810703</v>
          </cell>
          <cell r="AK153">
            <v>8421110</v>
          </cell>
          <cell r="AL153" t="str">
            <v>Deprec Land &amp; Bldg</v>
          </cell>
          <cell r="AM153">
            <v>9211522</v>
          </cell>
        </row>
        <row r="154">
          <cell r="A154">
            <v>8271130</v>
          </cell>
          <cell r="B154" t="str">
            <v>Tender Expenses</v>
          </cell>
          <cell r="C154">
            <v>50000000</v>
          </cell>
          <cell r="G154">
            <v>8432110</v>
          </cell>
          <cell r="H154" t="str">
            <v>Sub Contracting</v>
          </cell>
          <cell r="I154">
            <v>8997000</v>
          </cell>
          <cell r="J154">
            <v>8451110</v>
          </cell>
          <cell r="K154" t="str">
            <v>Sattelite Comm</v>
          </cell>
          <cell r="L154">
            <v>223254</v>
          </cell>
          <cell r="M154">
            <v>8421140</v>
          </cell>
          <cell r="N154" t="str">
            <v>Deprec Motor Vehicle</v>
          </cell>
          <cell r="O154">
            <v>49849082</v>
          </cell>
          <cell r="P154">
            <v>8421145</v>
          </cell>
          <cell r="Q154" t="str">
            <v>Dep Vhcl TaxDisallow</v>
          </cell>
          <cell r="R154">
            <v>370750</v>
          </cell>
          <cell r="S154">
            <v>8431110</v>
          </cell>
          <cell r="T154" t="str">
            <v>R&amp;M Workshp Tc Equip</v>
          </cell>
          <cell r="U154">
            <v>0</v>
          </cell>
          <cell r="V154">
            <v>8411110</v>
          </cell>
          <cell r="W154" t="str">
            <v>Office Rental</v>
          </cell>
          <cell r="X154">
            <v>33374000</v>
          </cell>
          <cell r="Y154">
            <v>8421120</v>
          </cell>
          <cell r="Z154" t="str">
            <v>Deprec Plant &amp; Equip</v>
          </cell>
          <cell r="AA154">
            <v>84727100</v>
          </cell>
          <cell r="AB154">
            <v>8421125</v>
          </cell>
          <cell r="AC154" t="str">
            <v>Deprec Service Tools</v>
          </cell>
          <cell r="AD154">
            <v>5030357</v>
          </cell>
          <cell r="AE154">
            <v>8421125</v>
          </cell>
          <cell r="AF154" t="str">
            <v>Deprec Service Tools</v>
          </cell>
          <cell r="AG154">
            <v>5030357</v>
          </cell>
          <cell r="AH154">
            <v>8421125</v>
          </cell>
          <cell r="AI154" t="str">
            <v>Deprec Service Tools</v>
          </cell>
          <cell r="AJ154">
            <v>5267308</v>
          </cell>
          <cell r="AK154">
            <v>8421120</v>
          </cell>
          <cell r="AL154" t="str">
            <v>Deprec Plant &amp; Equip</v>
          </cell>
          <cell r="AM154">
            <v>119763675</v>
          </cell>
        </row>
        <row r="155">
          <cell r="A155">
            <v>8271150</v>
          </cell>
          <cell r="B155" t="str">
            <v>OH Others Lic &amp; Levs</v>
          </cell>
          <cell r="C155">
            <v>15822250</v>
          </cell>
          <cell r="G155">
            <v>8441120</v>
          </cell>
          <cell r="H155" t="str">
            <v>Repr &amp; Maint Comp Eq</v>
          </cell>
          <cell r="I155">
            <v>140000</v>
          </cell>
          <cell r="J155">
            <v>8461110</v>
          </cell>
          <cell r="K155" t="str">
            <v>Vehicle Insurance</v>
          </cell>
          <cell r="L155">
            <v>1847000</v>
          </cell>
          <cell r="M155">
            <v>8421145</v>
          </cell>
          <cell r="N155" t="str">
            <v>Dep Vhcl TaxDisallow</v>
          </cell>
          <cell r="O155">
            <v>370750</v>
          </cell>
          <cell r="P155">
            <v>8421160</v>
          </cell>
          <cell r="Q155" t="str">
            <v>Deprec Office Eq Fur</v>
          </cell>
          <cell r="R155">
            <v>4519869</v>
          </cell>
          <cell r="S155">
            <v>8431120</v>
          </cell>
          <cell r="T155" t="str">
            <v>Repair &amp; Maint Bldg</v>
          </cell>
          <cell r="U155">
            <v>19385567</v>
          </cell>
          <cell r="V155">
            <v>8421110</v>
          </cell>
          <cell r="W155" t="str">
            <v>Deprec Land &amp; Bldg</v>
          </cell>
          <cell r="X155">
            <v>9070254</v>
          </cell>
          <cell r="Y155">
            <v>8421125</v>
          </cell>
          <cell r="Z155" t="str">
            <v>Deprec Service Tools</v>
          </cell>
          <cell r="AA155">
            <v>5030355</v>
          </cell>
          <cell r="AB155">
            <v>8421130</v>
          </cell>
          <cell r="AC155" t="str">
            <v>Deprec Rental Fleet</v>
          </cell>
          <cell r="AD155">
            <v>1330818223</v>
          </cell>
          <cell r="AE155">
            <v>8421130</v>
          </cell>
          <cell r="AF155" t="str">
            <v>Deprec Rental Fleet</v>
          </cell>
          <cell r="AG155">
            <v>1330818250</v>
          </cell>
          <cell r="AH155">
            <v>8421130</v>
          </cell>
          <cell r="AI155" t="str">
            <v>Deprec Rental Fleet</v>
          </cell>
          <cell r="AJ155">
            <v>1330818218</v>
          </cell>
          <cell r="AK155">
            <v>8421125</v>
          </cell>
          <cell r="AL155" t="str">
            <v>Deprec Service Tools</v>
          </cell>
          <cell r="AM155">
            <v>5267308</v>
          </cell>
        </row>
        <row r="156">
          <cell r="A156">
            <v>8271160</v>
          </cell>
          <cell r="B156" t="str">
            <v>OH Others Recruitm</v>
          </cell>
          <cell r="C156">
            <v>42638600</v>
          </cell>
          <cell r="G156">
            <v>8451110</v>
          </cell>
          <cell r="H156" t="str">
            <v>Sattelite Comm</v>
          </cell>
          <cell r="I156">
            <v>19124003</v>
          </cell>
          <cell r="J156">
            <v>8461130</v>
          </cell>
          <cell r="K156" t="str">
            <v>Ins Marine Stock T/O</v>
          </cell>
          <cell r="L156">
            <v>0</v>
          </cell>
          <cell r="M156">
            <v>8421160</v>
          </cell>
          <cell r="N156" t="str">
            <v>Deprec Office Eq Fur</v>
          </cell>
          <cell r="O156">
            <v>4519864</v>
          </cell>
          <cell r="P156">
            <v>8431110</v>
          </cell>
          <cell r="Q156" t="str">
            <v>R&amp;M Workshp Tc Equip</v>
          </cell>
          <cell r="R156">
            <v>8421501</v>
          </cell>
          <cell r="S156">
            <v>8431140</v>
          </cell>
          <cell r="T156" t="str">
            <v>Small Fixture &amp; Equi</v>
          </cell>
          <cell r="U156">
            <v>186524350</v>
          </cell>
          <cell r="V156">
            <v>8421120</v>
          </cell>
          <cell r="W156" t="str">
            <v>Deprec Plant &amp; Equip</v>
          </cell>
          <cell r="X156">
            <v>83748125</v>
          </cell>
          <cell r="Y156">
            <v>8421130</v>
          </cell>
          <cell r="Z156" t="str">
            <v>Deprec Rental Fleet</v>
          </cell>
          <cell r="AA156">
            <v>1169979882</v>
          </cell>
          <cell r="AB156">
            <v>8421140</v>
          </cell>
          <cell r="AC156" t="str">
            <v>Deprec Motor Vehicle</v>
          </cell>
          <cell r="AD156">
            <v>51058584</v>
          </cell>
          <cell r="AE156">
            <v>8421140</v>
          </cell>
          <cell r="AF156" t="str">
            <v>Deprec Motor Vehicle</v>
          </cell>
          <cell r="AG156">
            <v>50898906</v>
          </cell>
          <cell r="AH156">
            <v>8421140</v>
          </cell>
          <cell r="AI156" t="str">
            <v>Deprec Motor Vehicle</v>
          </cell>
          <cell r="AJ156">
            <v>50898918</v>
          </cell>
          <cell r="AK156">
            <v>8421130</v>
          </cell>
          <cell r="AL156" t="str">
            <v>Deprec Rental Fleet</v>
          </cell>
          <cell r="AM156">
            <v>1330818214</v>
          </cell>
        </row>
        <row r="157">
          <cell r="A157">
            <v>8271170</v>
          </cell>
          <cell r="B157" t="str">
            <v>OH Oths Non All Item</v>
          </cell>
          <cell r="C157">
            <v>45494007</v>
          </cell>
          <cell r="G157">
            <v>8461130</v>
          </cell>
          <cell r="H157" t="str">
            <v>Ins Marine Stock T/O</v>
          </cell>
          <cell r="I157">
            <v>5124942</v>
          </cell>
          <cell r="J157">
            <v>8471110</v>
          </cell>
          <cell r="K157" t="str">
            <v>Facility Water</v>
          </cell>
          <cell r="L157">
            <v>1212464</v>
          </cell>
          <cell r="M157">
            <v>8431140</v>
          </cell>
          <cell r="N157" t="str">
            <v>Small Fixture &amp; Equi</v>
          </cell>
          <cell r="O157">
            <v>24555950</v>
          </cell>
          <cell r="P157">
            <v>8431120</v>
          </cell>
          <cell r="Q157" t="str">
            <v>Repair &amp; Maint Bldg</v>
          </cell>
          <cell r="R157">
            <v>10051464</v>
          </cell>
          <cell r="S157">
            <v>8431150</v>
          </cell>
          <cell r="T157" t="str">
            <v>Repair Maint Vehicle</v>
          </cell>
          <cell r="U157">
            <v>59402464</v>
          </cell>
          <cell r="V157">
            <v>8421125</v>
          </cell>
          <cell r="W157" t="str">
            <v>Deprec Service Tools</v>
          </cell>
          <cell r="X157">
            <v>5030357</v>
          </cell>
          <cell r="Y157">
            <v>8421140</v>
          </cell>
          <cell r="Z157" t="str">
            <v>Deprec Motor Vehicle</v>
          </cell>
          <cell r="AA157">
            <v>51576307</v>
          </cell>
          <cell r="AB157">
            <v>8421145</v>
          </cell>
          <cell r="AC157" t="str">
            <v>Dep Vhcl TaxDisallow</v>
          </cell>
          <cell r="AD157">
            <v>370750</v>
          </cell>
          <cell r="AE157">
            <v>8421145</v>
          </cell>
          <cell r="AF157" t="str">
            <v>Dep Vhcl TaxDisallow</v>
          </cell>
          <cell r="AG157">
            <v>370750</v>
          </cell>
          <cell r="AH157">
            <v>8421145</v>
          </cell>
          <cell r="AI157" t="str">
            <v>Dep Vhcl TaxDisallow</v>
          </cell>
          <cell r="AJ157">
            <v>370750</v>
          </cell>
          <cell r="AK157">
            <v>8421140</v>
          </cell>
          <cell r="AL157" t="str">
            <v>Deprec Motor Vehicle</v>
          </cell>
          <cell r="AM157">
            <v>58156318</v>
          </cell>
        </row>
        <row r="158">
          <cell r="A158">
            <v>8311110</v>
          </cell>
          <cell r="B158" t="str">
            <v>Facilities Charges</v>
          </cell>
          <cell r="C158">
            <v>25643699</v>
          </cell>
          <cell r="G158">
            <v>8461210</v>
          </cell>
          <cell r="H158" t="str">
            <v>Insurance Motor Flt</v>
          </cell>
          <cell r="I158">
            <v>22156360</v>
          </cell>
          <cell r="J158">
            <v>8471120</v>
          </cell>
          <cell r="K158" t="str">
            <v>Facility Electricity</v>
          </cell>
          <cell r="L158">
            <v>8409768</v>
          </cell>
          <cell r="M158">
            <v>8431150</v>
          </cell>
          <cell r="N158" t="str">
            <v>Repair Maint Vehicle</v>
          </cell>
          <cell r="O158">
            <v>66222761</v>
          </cell>
          <cell r="P158">
            <v>8431140</v>
          </cell>
          <cell r="Q158" t="str">
            <v>Small Fixture &amp; Equi</v>
          </cell>
          <cell r="R158">
            <v>161608560</v>
          </cell>
          <cell r="S158">
            <v>8431160</v>
          </cell>
          <cell r="T158" t="str">
            <v>Repr Maint Facility</v>
          </cell>
          <cell r="U158">
            <v>14862690</v>
          </cell>
          <cell r="V158">
            <v>8421130</v>
          </cell>
          <cell r="W158" t="str">
            <v>Deprec Rental Fleet</v>
          </cell>
          <cell r="X158">
            <v>1169979875</v>
          </cell>
          <cell r="Y158">
            <v>8421145</v>
          </cell>
          <cell r="Z158" t="str">
            <v>Dep Vhcl TaxDisallow</v>
          </cell>
          <cell r="AA158">
            <v>370750</v>
          </cell>
          <cell r="AB158">
            <v>8421160</v>
          </cell>
          <cell r="AC158" t="str">
            <v>Deprec Office Eq Fur</v>
          </cell>
          <cell r="AD158">
            <v>6584480</v>
          </cell>
          <cell r="AE158">
            <v>8421160</v>
          </cell>
          <cell r="AF158" t="str">
            <v>Deprec Office Eq Fur</v>
          </cell>
          <cell r="AG158">
            <v>6584483</v>
          </cell>
          <cell r="AH158">
            <v>8421160</v>
          </cell>
          <cell r="AI158" t="str">
            <v>Deprec Office Eq Fur</v>
          </cell>
          <cell r="AJ158">
            <v>6584486</v>
          </cell>
          <cell r="AK158">
            <v>8421145</v>
          </cell>
          <cell r="AL158" t="str">
            <v>Dep Vhcl TaxDisallow</v>
          </cell>
          <cell r="AM158">
            <v>370750</v>
          </cell>
        </row>
        <row r="159">
          <cell r="A159">
            <v>8321110</v>
          </cell>
          <cell r="B159" t="str">
            <v>Comm Vehicle Chrg</v>
          </cell>
          <cell r="C159">
            <v>1126000000</v>
          </cell>
          <cell r="G159">
            <v>8471110</v>
          </cell>
          <cell r="H159" t="str">
            <v>Facility Water</v>
          </cell>
          <cell r="I159">
            <v>51950</v>
          </cell>
          <cell r="J159">
            <v>8511150</v>
          </cell>
          <cell r="K159" t="str">
            <v>Overhead Recovery</v>
          </cell>
          <cell r="L159">
            <v>-147709604</v>
          </cell>
          <cell r="M159">
            <v>8431160</v>
          </cell>
          <cell r="N159" t="str">
            <v>Repr Maint Facility</v>
          </cell>
          <cell r="O159">
            <v>4094080</v>
          </cell>
          <cell r="P159">
            <v>8431150</v>
          </cell>
          <cell r="Q159" t="str">
            <v>Repair Maint Vehicle</v>
          </cell>
          <cell r="R159">
            <v>47938218</v>
          </cell>
          <cell r="S159">
            <v>8431170</v>
          </cell>
          <cell r="T159" t="str">
            <v>Repr Maint Gen - Act</v>
          </cell>
          <cell r="U159">
            <v>833913703</v>
          </cell>
          <cell r="V159">
            <v>8421140</v>
          </cell>
          <cell r="W159" t="str">
            <v>Deprec Motor Vehicle</v>
          </cell>
          <cell r="X159">
            <v>49884078</v>
          </cell>
          <cell r="Y159">
            <v>8421160</v>
          </cell>
          <cell r="Z159" t="str">
            <v>Deprec Office Eq Fur</v>
          </cell>
          <cell r="AA159">
            <v>6290528</v>
          </cell>
          <cell r="AB159">
            <v>8431140</v>
          </cell>
          <cell r="AC159" t="str">
            <v>Small Fixture &amp; Equi</v>
          </cell>
          <cell r="AD159">
            <v>118193952</v>
          </cell>
          <cell r="AE159">
            <v>8431110</v>
          </cell>
          <cell r="AF159" t="str">
            <v>R&amp;M Workshp Tc Equip</v>
          </cell>
          <cell r="AG159">
            <v>0</v>
          </cell>
          <cell r="AH159">
            <v>8431110</v>
          </cell>
          <cell r="AI159" t="str">
            <v>R&amp;M Workshp Tc Equip</v>
          </cell>
          <cell r="AJ159">
            <v>0</v>
          </cell>
          <cell r="AK159">
            <v>8421160</v>
          </cell>
          <cell r="AL159" t="str">
            <v>Deprec Office Eq Fur</v>
          </cell>
          <cell r="AM159">
            <v>6584481</v>
          </cell>
        </row>
        <row r="160">
          <cell r="A160">
            <v>8331110</v>
          </cell>
          <cell r="B160" t="str">
            <v>IT Charges</v>
          </cell>
          <cell r="C160">
            <v>730987950</v>
          </cell>
          <cell r="G160">
            <v>8471120</v>
          </cell>
          <cell r="H160" t="str">
            <v>Facility Electricity</v>
          </cell>
          <cell r="I160">
            <v>6627391</v>
          </cell>
          <cell r="J160">
            <v>9151110</v>
          </cell>
          <cell r="K160" t="str">
            <v>Bank Guarantee Chg</v>
          </cell>
          <cell r="L160">
            <v>0</v>
          </cell>
          <cell r="M160">
            <v>8431170</v>
          </cell>
          <cell r="N160" t="str">
            <v>Repr Maint Gen - Act</v>
          </cell>
          <cell r="O160">
            <v>292374790</v>
          </cell>
          <cell r="P160">
            <v>8431160</v>
          </cell>
          <cell r="Q160" t="str">
            <v>Repr Maint Facility</v>
          </cell>
          <cell r="R160">
            <v>5497000</v>
          </cell>
          <cell r="S160">
            <v>8431190</v>
          </cell>
          <cell r="T160" t="str">
            <v>Repr Maint MARC- Act</v>
          </cell>
          <cell r="U160">
            <v>2624822487</v>
          </cell>
          <cell r="V160">
            <v>8421145</v>
          </cell>
          <cell r="W160" t="str">
            <v>Dep Vhcl TaxDisallow</v>
          </cell>
          <cell r="X160">
            <v>370750</v>
          </cell>
          <cell r="Y160">
            <v>8431120</v>
          </cell>
          <cell r="Z160" t="str">
            <v>Repair &amp; Maint Bldg</v>
          </cell>
          <cell r="AA160">
            <v>7000000</v>
          </cell>
          <cell r="AB160">
            <v>8431150</v>
          </cell>
          <cell r="AC160" t="str">
            <v>Repair Maint Vehicle</v>
          </cell>
          <cell r="AD160">
            <v>36332363</v>
          </cell>
          <cell r="AE160">
            <v>8431120</v>
          </cell>
          <cell r="AF160" t="str">
            <v>Repair &amp; Maint Bldg</v>
          </cell>
          <cell r="AG160">
            <v>-8053000</v>
          </cell>
          <cell r="AH160">
            <v>8431120</v>
          </cell>
          <cell r="AI160" t="str">
            <v>Repair &amp; Maint Bldg</v>
          </cell>
          <cell r="AJ160">
            <v>0</v>
          </cell>
          <cell r="AK160">
            <v>8431110</v>
          </cell>
          <cell r="AL160" t="str">
            <v>R&amp;M Workshp Tc Equip</v>
          </cell>
          <cell r="AM160">
            <v>17544200</v>
          </cell>
        </row>
        <row r="161">
          <cell r="A161">
            <v>8411110</v>
          </cell>
          <cell r="B161" t="str">
            <v>Office Rental</v>
          </cell>
          <cell r="C161">
            <v>269918400</v>
          </cell>
          <cell r="G161">
            <v>8511150</v>
          </cell>
          <cell r="H161" t="str">
            <v>Overhead Recovery</v>
          </cell>
          <cell r="I161">
            <v>214164118</v>
          </cell>
          <cell r="J161">
            <v>9151120</v>
          </cell>
          <cell r="K161" t="str">
            <v>Bank Charges</v>
          </cell>
          <cell r="L161">
            <v>7042296</v>
          </cell>
          <cell r="M161">
            <v>8431190</v>
          </cell>
          <cell r="N161" t="str">
            <v>Repr Maint MARC- Act</v>
          </cell>
          <cell r="O161">
            <v>2834699220</v>
          </cell>
          <cell r="P161">
            <v>8431170</v>
          </cell>
          <cell r="Q161" t="str">
            <v>Repr Maint Gen - Act</v>
          </cell>
          <cell r="R161">
            <v>493569347</v>
          </cell>
          <cell r="S161">
            <v>8431210</v>
          </cell>
          <cell r="T161" t="str">
            <v>Repr Maint OH calc.</v>
          </cell>
          <cell r="U161">
            <v>1565556144</v>
          </cell>
          <cell r="V161">
            <v>8421160</v>
          </cell>
          <cell r="W161" t="str">
            <v>Deprec Office Eq Fur</v>
          </cell>
          <cell r="X161">
            <v>5607916</v>
          </cell>
          <cell r="Y161">
            <v>8431140</v>
          </cell>
          <cell r="Z161" t="str">
            <v>Small Fixture &amp; Equi</v>
          </cell>
          <cell r="AA161">
            <v>90911598</v>
          </cell>
          <cell r="AB161">
            <v>8431160</v>
          </cell>
          <cell r="AC161" t="str">
            <v>Repr Maint Facility</v>
          </cell>
          <cell r="AD161">
            <v>30528317</v>
          </cell>
          <cell r="AE161">
            <v>8431140</v>
          </cell>
          <cell r="AF161" t="str">
            <v>Small Fixture &amp; Equi</v>
          </cell>
          <cell r="AG161">
            <v>37901300</v>
          </cell>
          <cell r="AH161">
            <v>8431140</v>
          </cell>
          <cell r="AI161" t="str">
            <v>Small Fixture &amp; Equi</v>
          </cell>
          <cell r="AJ161">
            <v>28451500</v>
          </cell>
          <cell r="AK161">
            <v>8431140</v>
          </cell>
          <cell r="AL161" t="str">
            <v>Small Fixture &amp; Equi</v>
          </cell>
          <cell r="AM161">
            <v>245033650</v>
          </cell>
        </row>
        <row r="162">
          <cell r="A162">
            <v>8421110</v>
          </cell>
          <cell r="B162" t="str">
            <v>Deprec Land &amp; Bldg</v>
          </cell>
          <cell r="C162">
            <v>63890421</v>
          </cell>
          <cell r="G162">
            <v>9151120</v>
          </cell>
          <cell r="H162" t="str">
            <v>Bank Charges</v>
          </cell>
          <cell r="I162">
            <v>4052659</v>
          </cell>
          <cell r="J162">
            <v>9161110</v>
          </cell>
          <cell r="K162" t="str">
            <v>Misc Income(Exp)</v>
          </cell>
          <cell r="L162">
            <v>0</v>
          </cell>
          <cell r="M162">
            <v>8431210</v>
          </cell>
          <cell r="N162" t="str">
            <v>Repr Maint OH calc.</v>
          </cell>
          <cell r="O162">
            <v>1535676401</v>
          </cell>
          <cell r="P162">
            <v>8431190</v>
          </cell>
          <cell r="Q162" t="str">
            <v>Repr Maint MARC- Act</v>
          </cell>
          <cell r="R162">
            <v>3750843809</v>
          </cell>
          <cell r="S162">
            <v>8432110</v>
          </cell>
          <cell r="T162" t="str">
            <v>Sub Contracting</v>
          </cell>
          <cell r="U162">
            <v>9261206493</v>
          </cell>
          <cell r="V162">
            <v>8431110</v>
          </cell>
          <cell r="W162" t="str">
            <v>R&amp;M Workshp Tc Equip</v>
          </cell>
          <cell r="X162">
            <v>0</v>
          </cell>
          <cell r="Y162">
            <v>8431150</v>
          </cell>
          <cell r="Z162" t="str">
            <v>Repair Maint Vehicle</v>
          </cell>
          <cell r="AA162">
            <v>32494014</v>
          </cell>
          <cell r="AB162">
            <v>8431170</v>
          </cell>
          <cell r="AC162" t="str">
            <v>Repr Maint Gen - Act</v>
          </cell>
          <cell r="AD162">
            <v>167486218</v>
          </cell>
          <cell r="AE162">
            <v>8431150</v>
          </cell>
          <cell r="AF162" t="str">
            <v>Repair Maint Vehicle</v>
          </cell>
          <cell r="AG162">
            <v>62131115</v>
          </cell>
          <cell r="AH162">
            <v>8431150</v>
          </cell>
          <cell r="AI162" t="str">
            <v>Repair Maint Vehicle</v>
          </cell>
          <cell r="AJ162">
            <v>16025555</v>
          </cell>
          <cell r="AK162">
            <v>8431150</v>
          </cell>
          <cell r="AL162" t="str">
            <v>Repair Maint Vehicle</v>
          </cell>
          <cell r="AM162">
            <v>208845059</v>
          </cell>
        </row>
        <row r="163">
          <cell r="A163">
            <v>8421120</v>
          </cell>
          <cell r="B163" t="str">
            <v>Deprec Plant &amp; Equip</v>
          </cell>
          <cell r="C163">
            <v>314252018</v>
          </cell>
          <cell r="G163">
            <v>9161110</v>
          </cell>
          <cell r="H163" t="str">
            <v>Misc Income(Exp)</v>
          </cell>
          <cell r="I163">
            <v>-772240</v>
          </cell>
          <cell r="J163">
            <v>9161140</v>
          </cell>
          <cell r="K163" t="str">
            <v>Tax Penalty</v>
          </cell>
          <cell r="L163">
            <v>0</v>
          </cell>
          <cell r="M163">
            <v>8432110</v>
          </cell>
          <cell r="N163" t="str">
            <v>Sub Contracting</v>
          </cell>
          <cell r="O163">
            <v>87794020</v>
          </cell>
          <cell r="P163">
            <v>8431210</v>
          </cell>
          <cell r="Q163" t="str">
            <v>Repr Maint OH calc.</v>
          </cell>
          <cell r="R163">
            <v>1816945558</v>
          </cell>
          <cell r="S163">
            <v>8441110</v>
          </cell>
          <cell r="T163" t="str">
            <v>Inf Software Mnt Fee</v>
          </cell>
          <cell r="U163">
            <v>9504438</v>
          </cell>
          <cell r="V163">
            <v>8431120</v>
          </cell>
          <cell r="W163" t="str">
            <v>Repair &amp; Maint Bldg</v>
          </cell>
          <cell r="X163">
            <v>-9278325</v>
          </cell>
          <cell r="Y163">
            <v>8431160</v>
          </cell>
          <cell r="Z163" t="str">
            <v>Repr Maint Facility</v>
          </cell>
          <cell r="AA163">
            <v>41516738</v>
          </cell>
          <cell r="AB163">
            <v>8431180</v>
          </cell>
          <cell r="AC163" t="str">
            <v>Repr Maint Ohd - Act</v>
          </cell>
          <cell r="AD163">
            <v>0</v>
          </cell>
          <cell r="AE163">
            <v>8431160</v>
          </cell>
          <cell r="AF163" t="str">
            <v>Repr Maint Facility</v>
          </cell>
          <cell r="AG163">
            <v>52419150</v>
          </cell>
          <cell r="AH163">
            <v>8431160</v>
          </cell>
          <cell r="AI163" t="str">
            <v>Repr Maint Facility</v>
          </cell>
          <cell r="AJ163">
            <v>14819295</v>
          </cell>
          <cell r="AK163">
            <v>8431160</v>
          </cell>
          <cell r="AL163" t="str">
            <v>Repr Maint Facility</v>
          </cell>
          <cell r="AM163">
            <v>194509323</v>
          </cell>
        </row>
        <row r="164">
          <cell r="A164">
            <v>8421125</v>
          </cell>
          <cell r="B164" t="str">
            <v>Deprec Service Tools</v>
          </cell>
          <cell r="C164">
            <v>22626608</v>
          </cell>
          <cell r="G164">
            <v>9161140</v>
          </cell>
          <cell r="H164" t="str">
            <v>Tax Penalty</v>
          </cell>
          <cell r="I164">
            <v>0</v>
          </cell>
          <cell r="J164">
            <v>9211130</v>
          </cell>
          <cell r="K164" t="str">
            <v>Interest Ext Deposit</v>
          </cell>
          <cell r="L164">
            <v>-29577834</v>
          </cell>
          <cell r="M164">
            <v>8441110</v>
          </cell>
          <cell r="N164" t="str">
            <v>Inf Software Mnt Fee</v>
          </cell>
          <cell r="O164">
            <v>11883000</v>
          </cell>
          <cell r="P164">
            <v>8432110</v>
          </cell>
          <cell r="Q164" t="str">
            <v>Sub Contracting</v>
          </cell>
          <cell r="R164">
            <v>4154342384</v>
          </cell>
          <cell r="S164">
            <v>8441120</v>
          </cell>
          <cell r="T164" t="str">
            <v>Repr &amp; Maint Comp Eq</v>
          </cell>
          <cell r="U164">
            <v>275000</v>
          </cell>
          <cell r="V164">
            <v>8431140</v>
          </cell>
          <cell r="W164" t="str">
            <v>Small Fixture &amp; Equi</v>
          </cell>
          <cell r="X164">
            <v>275421646</v>
          </cell>
          <cell r="Y164">
            <v>8431170</v>
          </cell>
          <cell r="Z164" t="str">
            <v>Repr Maint Gen - Act</v>
          </cell>
          <cell r="AA164">
            <v>529870096</v>
          </cell>
          <cell r="AB164">
            <v>8431190</v>
          </cell>
          <cell r="AC164" t="str">
            <v>Repr Maint MARC- Act</v>
          </cell>
          <cell r="AD164">
            <v>4528420371</v>
          </cell>
          <cell r="AE164">
            <v>8431170</v>
          </cell>
          <cell r="AF164" t="str">
            <v>Repr Maint Gen - Act</v>
          </cell>
          <cell r="AG164">
            <v>585568276</v>
          </cell>
          <cell r="AH164">
            <v>8431170</v>
          </cell>
          <cell r="AI164" t="str">
            <v>Repr Maint Gen - Act</v>
          </cell>
          <cell r="AJ164">
            <v>938860535</v>
          </cell>
          <cell r="AK164">
            <v>8431170</v>
          </cell>
          <cell r="AL164" t="str">
            <v>Repr Maint Gen - Act</v>
          </cell>
          <cell r="AM164">
            <v>1021398085</v>
          </cell>
        </row>
        <row r="165">
          <cell r="A165">
            <v>8421130</v>
          </cell>
          <cell r="B165" t="str">
            <v>Deprec Rental Fleet</v>
          </cell>
          <cell r="C165">
            <v>4864299625</v>
          </cell>
          <cell r="G165">
            <v>9211130</v>
          </cell>
          <cell r="H165" t="str">
            <v>Interest Ext Deposit</v>
          </cell>
          <cell r="I165">
            <v>-24450971</v>
          </cell>
          <cell r="J165">
            <v>9211140</v>
          </cell>
          <cell r="K165" t="str">
            <v>Interest Ext Jagir</v>
          </cell>
          <cell r="L165">
            <v>-11359496</v>
          </cell>
          <cell r="M165">
            <v>8441120</v>
          </cell>
          <cell r="N165" t="str">
            <v>Repr &amp; Maint Comp Eq</v>
          </cell>
          <cell r="O165">
            <v>0</v>
          </cell>
          <cell r="P165">
            <v>8441110</v>
          </cell>
          <cell r="Q165" t="str">
            <v>Inf Software Mnt Fee</v>
          </cell>
          <cell r="R165">
            <v>62786381</v>
          </cell>
          <cell r="S165">
            <v>8451110</v>
          </cell>
          <cell r="T165" t="str">
            <v>Sattelite Comm</v>
          </cell>
          <cell r="U165">
            <v>8921546</v>
          </cell>
          <cell r="V165">
            <v>8431150</v>
          </cell>
          <cell r="W165" t="str">
            <v>Repair Maint Vehicle</v>
          </cell>
          <cell r="X165">
            <v>65925680</v>
          </cell>
          <cell r="Y165">
            <v>8431180</v>
          </cell>
          <cell r="Z165" t="str">
            <v>Repr Maint Ohd - Act</v>
          </cell>
          <cell r="AA165">
            <v>0</v>
          </cell>
          <cell r="AB165">
            <v>8431210</v>
          </cell>
          <cell r="AC165" t="str">
            <v>Repr Maint OH calc.</v>
          </cell>
          <cell r="AD165">
            <v>1022806017</v>
          </cell>
          <cell r="AE165">
            <v>8431180</v>
          </cell>
          <cell r="AF165" t="str">
            <v>Repr Maint Ohd - Act</v>
          </cell>
          <cell r="AG165">
            <v>0</v>
          </cell>
          <cell r="AH165">
            <v>8431180</v>
          </cell>
          <cell r="AI165" t="str">
            <v>Repr Maint Ohd - Act</v>
          </cell>
          <cell r="AJ165">
            <v>0</v>
          </cell>
          <cell r="AK165">
            <v>8431180</v>
          </cell>
          <cell r="AL165" t="str">
            <v>Repr Maint Ohd - Act</v>
          </cell>
          <cell r="AM165">
            <v>0</v>
          </cell>
        </row>
        <row r="166">
          <cell r="A166">
            <v>8421140</v>
          </cell>
          <cell r="B166" t="str">
            <v>Deprec Motor Vehicle</v>
          </cell>
          <cell r="C166">
            <v>505851799</v>
          </cell>
          <cell r="G166">
            <v>9211140</v>
          </cell>
          <cell r="H166" t="str">
            <v>Interest Ext Jagir</v>
          </cell>
          <cell r="I166">
            <v>-13981570</v>
          </cell>
          <cell r="J166">
            <v>9211150</v>
          </cell>
          <cell r="K166" t="str">
            <v>Interest Charges</v>
          </cell>
          <cell r="L166">
            <v>3166646715</v>
          </cell>
          <cell r="M166">
            <v>8451110</v>
          </cell>
          <cell r="N166" t="str">
            <v>Sattelite Comm</v>
          </cell>
          <cell r="O166">
            <v>9429737</v>
          </cell>
          <cell r="P166">
            <v>8451110</v>
          </cell>
          <cell r="Q166" t="str">
            <v>Sattelite Comm</v>
          </cell>
          <cell r="R166">
            <v>19718779</v>
          </cell>
          <cell r="S166">
            <v>8461130</v>
          </cell>
          <cell r="T166" t="str">
            <v>Ins Marine Stock T/O</v>
          </cell>
          <cell r="U166">
            <v>8270000</v>
          </cell>
          <cell r="V166">
            <v>8431160</v>
          </cell>
          <cell r="W166" t="str">
            <v>Repr Maint Facility</v>
          </cell>
          <cell r="X166">
            <v>32027308</v>
          </cell>
          <cell r="Y166">
            <v>8431190</v>
          </cell>
          <cell r="Z166" t="str">
            <v>Repr Maint MARC- Act</v>
          </cell>
          <cell r="AA166">
            <v>4332773065</v>
          </cell>
          <cell r="AB166">
            <v>8432110</v>
          </cell>
          <cell r="AC166" t="str">
            <v>Sub Contracting</v>
          </cell>
          <cell r="AD166">
            <v>4496757350</v>
          </cell>
          <cell r="AE166">
            <v>8431190</v>
          </cell>
          <cell r="AF166" t="str">
            <v>Repr Maint MARC- Act</v>
          </cell>
          <cell r="AG166">
            <v>5599681259</v>
          </cell>
          <cell r="AH166">
            <v>8431190</v>
          </cell>
          <cell r="AI166" t="str">
            <v>Repr Maint MARC- Act</v>
          </cell>
          <cell r="AJ166">
            <v>4611550985</v>
          </cell>
          <cell r="AK166">
            <v>8431190</v>
          </cell>
          <cell r="AL166" t="str">
            <v>Repr Maint MARC- Act</v>
          </cell>
          <cell r="AM166">
            <v>10743097743</v>
          </cell>
        </row>
        <row r="167">
          <cell r="A167">
            <v>8421145</v>
          </cell>
          <cell r="B167" t="str">
            <v>Dep Vhcl TaxDisallow</v>
          </cell>
          <cell r="C167">
            <v>4449000</v>
          </cell>
          <cell r="G167">
            <v>9211150</v>
          </cell>
          <cell r="H167" t="str">
            <v>Interest Charges</v>
          </cell>
          <cell r="I167">
            <v>3205129546</v>
          </cell>
          <cell r="J167">
            <v>9231110</v>
          </cell>
          <cell r="K167" t="str">
            <v>Unrealiz Exch Gn/Ls</v>
          </cell>
          <cell r="L167">
            <v>96914191</v>
          </cell>
          <cell r="M167">
            <v>8461130</v>
          </cell>
          <cell r="N167" t="str">
            <v>Ins Marine Stock T/O</v>
          </cell>
          <cell r="O167">
            <v>0</v>
          </cell>
          <cell r="P167">
            <v>8461120</v>
          </cell>
          <cell r="Q167" t="str">
            <v>Building Insurance</v>
          </cell>
          <cell r="R167">
            <v>0</v>
          </cell>
          <cell r="S167">
            <v>8461210</v>
          </cell>
          <cell r="T167" t="str">
            <v>Insurance Motor Flt</v>
          </cell>
          <cell r="U167">
            <v>136679100</v>
          </cell>
          <cell r="V167">
            <v>8431170</v>
          </cell>
          <cell r="W167" t="str">
            <v>Repr Maint Gen - Act</v>
          </cell>
          <cell r="X167">
            <v>176010650</v>
          </cell>
          <cell r="Y167">
            <v>8431210</v>
          </cell>
          <cell r="Z167" t="str">
            <v>Repr Maint OH calc.</v>
          </cell>
          <cell r="AA167">
            <v>2131398157</v>
          </cell>
          <cell r="AB167">
            <v>8441110</v>
          </cell>
          <cell r="AC167" t="str">
            <v>Inf Software Mnt Fee</v>
          </cell>
          <cell r="AD167">
            <v>9886500</v>
          </cell>
          <cell r="AE167">
            <v>8431210</v>
          </cell>
          <cell r="AF167" t="str">
            <v>Repr Maint OH calc.</v>
          </cell>
          <cell r="AG167">
            <v>2020073328</v>
          </cell>
          <cell r="AH167">
            <v>8431210</v>
          </cell>
          <cell r="AI167" t="str">
            <v>Repr Maint OH calc.</v>
          </cell>
          <cell r="AJ167">
            <v>1794339986</v>
          </cell>
          <cell r="AK167">
            <v>8431210</v>
          </cell>
          <cell r="AL167" t="str">
            <v>Repr Maint OH calc.</v>
          </cell>
          <cell r="AM167">
            <v>-6551001997</v>
          </cell>
        </row>
        <row r="168">
          <cell r="A168">
            <v>8421160</v>
          </cell>
          <cell r="B168" t="str">
            <v>Deprec Office Eq Fur</v>
          </cell>
          <cell r="C168">
            <v>70138412</v>
          </cell>
          <cell r="G168">
            <v>9231110</v>
          </cell>
          <cell r="H168" t="str">
            <v>Unrealiz Exch Gn/Ls</v>
          </cell>
          <cell r="I168">
            <v>-2271292718</v>
          </cell>
          <cell r="J168">
            <v>9231120</v>
          </cell>
          <cell r="K168" t="str">
            <v>Realiz Exc Gain/Loss</v>
          </cell>
          <cell r="L168">
            <v>-62879586</v>
          </cell>
          <cell r="M168">
            <v>8461210</v>
          </cell>
          <cell r="N168" t="str">
            <v>Insurance Motor Flt</v>
          </cell>
          <cell r="O168">
            <v>81996590</v>
          </cell>
          <cell r="P168">
            <v>8461130</v>
          </cell>
          <cell r="Q168" t="str">
            <v>Ins Marine Stock T/O</v>
          </cell>
          <cell r="R168">
            <v>0</v>
          </cell>
          <cell r="S168">
            <v>8471110</v>
          </cell>
          <cell r="T168" t="str">
            <v>Facility Water</v>
          </cell>
          <cell r="U168">
            <v>3615459</v>
          </cell>
          <cell r="V168">
            <v>8431190</v>
          </cell>
          <cell r="W168" t="str">
            <v>Repr Maint MARC- Act</v>
          </cell>
          <cell r="X168">
            <v>3876275680</v>
          </cell>
          <cell r="Y168">
            <v>8432110</v>
          </cell>
          <cell r="Z168" t="str">
            <v>Sub Contracting</v>
          </cell>
          <cell r="AA168">
            <v>7137216317</v>
          </cell>
          <cell r="AB168">
            <v>8451110</v>
          </cell>
          <cell r="AC168" t="str">
            <v>Sattelite Comm</v>
          </cell>
          <cell r="AD168">
            <v>10365602</v>
          </cell>
          <cell r="AE168">
            <v>8432110</v>
          </cell>
          <cell r="AF168" t="str">
            <v>Sub Contracting</v>
          </cell>
          <cell r="AG168">
            <v>14917499584</v>
          </cell>
          <cell r="AH168">
            <v>8432110</v>
          </cell>
          <cell r="AI168" t="str">
            <v>Sub Contracting</v>
          </cell>
          <cell r="AJ168">
            <v>13133021511</v>
          </cell>
          <cell r="AK168">
            <v>8432110</v>
          </cell>
          <cell r="AL168" t="str">
            <v>Sub Contracting</v>
          </cell>
          <cell r="AM168">
            <v>24733625198</v>
          </cell>
        </row>
        <row r="169">
          <cell r="A169">
            <v>8431110</v>
          </cell>
          <cell r="B169" t="str">
            <v>R&amp;M Workshp Tc Equip</v>
          </cell>
          <cell r="C169">
            <v>10223390</v>
          </cell>
          <cell r="G169">
            <v>9231120</v>
          </cell>
          <cell r="H169" t="str">
            <v>Realiz Exc Gain/Loss</v>
          </cell>
          <cell r="I169">
            <v>-2705517685</v>
          </cell>
          <cell r="M169">
            <v>8471110</v>
          </cell>
          <cell r="N169" t="str">
            <v>Facility Water</v>
          </cell>
          <cell r="O169">
            <v>1196819</v>
          </cell>
          <cell r="P169">
            <v>8461210</v>
          </cell>
          <cell r="Q169" t="str">
            <v>Insurance Motor Flt</v>
          </cell>
          <cell r="R169">
            <v>-83483742</v>
          </cell>
          <cell r="S169">
            <v>8471120</v>
          </cell>
          <cell r="T169" t="str">
            <v>Facility Electricity</v>
          </cell>
          <cell r="U169">
            <v>2104351</v>
          </cell>
          <cell r="V169">
            <v>8431210</v>
          </cell>
          <cell r="W169" t="str">
            <v>Repr Maint OH calc.</v>
          </cell>
          <cell r="X169">
            <v>-43113008</v>
          </cell>
          <cell r="Y169">
            <v>8441120</v>
          </cell>
          <cell r="Z169" t="str">
            <v>Repr &amp; Maint Comp Eq</v>
          </cell>
          <cell r="AA169">
            <v>1170000</v>
          </cell>
          <cell r="AB169">
            <v>8461110</v>
          </cell>
          <cell r="AC169" t="str">
            <v>Insurance Vehicle</v>
          </cell>
          <cell r="AD169">
            <v>619250</v>
          </cell>
          <cell r="AE169">
            <v>8441120</v>
          </cell>
          <cell r="AF169" t="str">
            <v>Repr &amp; Maint Comp Eq</v>
          </cell>
          <cell r="AG169">
            <v>1815300</v>
          </cell>
          <cell r="AH169">
            <v>8441110</v>
          </cell>
          <cell r="AI169" t="str">
            <v>Inf Software Mnt Fee</v>
          </cell>
          <cell r="AJ169">
            <v>0</v>
          </cell>
          <cell r="AK169">
            <v>8441110</v>
          </cell>
          <cell r="AL169" t="str">
            <v>Inf Software Mnt Fee</v>
          </cell>
          <cell r="AM169">
            <v>150000</v>
          </cell>
        </row>
        <row r="170">
          <cell r="A170">
            <v>8431120</v>
          </cell>
          <cell r="B170" t="str">
            <v>Repair &amp; Maint Bldg</v>
          </cell>
          <cell r="C170">
            <v>38866550</v>
          </cell>
          <cell r="M170">
            <v>8471120</v>
          </cell>
          <cell r="N170" t="str">
            <v>Facility Electricity</v>
          </cell>
          <cell r="O170">
            <v>3020856</v>
          </cell>
          <cell r="P170">
            <v>8471110</v>
          </cell>
          <cell r="Q170" t="str">
            <v>Facility Water</v>
          </cell>
          <cell r="R170">
            <v>208300</v>
          </cell>
          <cell r="S170">
            <v>8511150</v>
          </cell>
          <cell r="T170" t="str">
            <v>Overhead Recovery</v>
          </cell>
          <cell r="U170">
            <v>253579123</v>
          </cell>
          <cell r="V170">
            <v>8432110</v>
          </cell>
          <cell r="W170" t="str">
            <v>Sub Contracting</v>
          </cell>
          <cell r="X170">
            <v>6507169093</v>
          </cell>
          <cell r="Y170">
            <v>8451110</v>
          </cell>
          <cell r="Z170" t="str">
            <v>Sattelite Comm</v>
          </cell>
          <cell r="AA170">
            <v>10565177</v>
          </cell>
          <cell r="AB170">
            <v>8461130</v>
          </cell>
          <cell r="AC170" t="str">
            <v>Ins Marine Stock T/O</v>
          </cell>
          <cell r="AD170">
            <v>0</v>
          </cell>
          <cell r="AE170">
            <v>8451110</v>
          </cell>
          <cell r="AF170" t="str">
            <v>Sattelite Comm</v>
          </cell>
          <cell r="AG170">
            <v>1658053</v>
          </cell>
          <cell r="AH170">
            <v>8441120</v>
          </cell>
          <cell r="AI170" t="str">
            <v>Repr &amp; Maint Comp Eq</v>
          </cell>
          <cell r="AJ170">
            <v>1070500</v>
          </cell>
          <cell r="AK170">
            <v>8441120</v>
          </cell>
          <cell r="AL170" t="str">
            <v>Repr &amp; Maint Comp Eq</v>
          </cell>
          <cell r="AM170">
            <v>616100</v>
          </cell>
        </row>
        <row r="171">
          <cell r="A171">
            <v>8431140</v>
          </cell>
          <cell r="B171" t="str">
            <v>Small Fixture &amp; Equi</v>
          </cell>
          <cell r="C171">
            <v>525600623</v>
          </cell>
          <cell r="M171">
            <v>8511140</v>
          </cell>
          <cell r="N171" t="str">
            <v>Insurance Recovery</v>
          </cell>
          <cell r="O171">
            <v>0</v>
          </cell>
          <cell r="P171">
            <v>8471120</v>
          </cell>
          <cell r="Q171" t="str">
            <v>Facility Electricity</v>
          </cell>
          <cell r="R171">
            <v>12727624</v>
          </cell>
          <cell r="S171">
            <v>9131110</v>
          </cell>
          <cell r="T171" t="str">
            <v>Cash Discount</v>
          </cell>
          <cell r="U171">
            <v>0</v>
          </cell>
          <cell r="V171">
            <v>8441110</v>
          </cell>
          <cell r="W171" t="str">
            <v>Inf Software Mnt Fee</v>
          </cell>
          <cell r="X171">
            <v>222750</v>
          </cell>
          <cell r="Y171">
            <v>8461130</v>
          </cell>
          <cell r="Z171" t="str">
            <v>Ins Marine Stock T/O</v>
          </cell>
          <cell r="AA171">
            <v>0</v>
          </cell>
          <cell r="AB171">
            <v>8461140</v>
          </cell>
          <cell r="AC171" t="str">
            <v>Ins Gen Liabl Prime</v>
          </cell>
          <cell r="AD171">
            <v>0</v>
          </cell>
          <cell r="AE171">
            <v>8461130</v>
          </cell>
          <cell r="AF171" t="str">
            <v>Ins Marine Stock T/O</v>
          </cell>
          <cell r="AG171">
            <v>3357985112</v>
          </cell>
          <cell r="AH171">
            <v>8451110</v>
          </cell>
          <cell r="AI171" t="str">
            <v>Sattelite Comm</v>
          </cell>
          <cell r="AJ171">
            <v>8925436</v>
          </cell>
          <cell r="AK171">
            <v>8451110</v>
          </cell>
          <cell r="AL171" t="str">
            <v>Sattelite Comm</v>
          </cell>
          <cell r="AM171">
            <v>8244914</v>
          </cell>
        </row>
        <row r="172">
          <cell r="A172">
            <v>8431150</v>
          </cell>
          <cell r="B172" t="str">
            <v>Repair Maint Vehicle</v>
          </cell>
          <cell r="C172">
            <v>760524221</v>
          </cell>
          <cell r="M172">
            <v>8511150</v>
          </cell>
          <cell r="N172" t="str">
            <v>Overhead Recovery</v>
          </cell>
          <cell r="O172">
            <v>-31928732</v>
          </cell>
          <cell r="P172">
            <v>8511150</v>
          </cell>
          <cell r="Q172" t="str">
            <v>Overhead Recovery</v>
          </cell>
          <cell r="R172">
            <v>-300322490</v>
          </cell>
          <cell r="S172">
            <v>9151110</v>
          </cell>
          <cell r="T172" t="str">
            <v>Bank Guarantee Chg</v>
          </cell>
          <cell r="U172">
            <v>256000</v>
          </cell>
          <cell r="V172">
            <v>8441120</v>
          </cell>
          <cell r="W172" t="str">
            <v>Repr &amp; Maint Comp Eq</v>
          </cell>
          <cell r="X172">
            <v>1800000</v>
          </cell>
          <cell r="Y172">
            <v>8461210</v>
          </cell>
          <cell r="Z172" t="str">
            <v>Insurance Motor Flt</v>
          </cell>
          <cell r="AA172">
            <v>68661714</v>
          </cell>
          <cell r="AB172">
            <v>8461160</v>
          </cell>
          <cell r="AC172" t="str">
            <v>Ins Grp Life &amp; Disab</v>
          </cell>
          <cell r="AD172">
            <v>0</v>
          </cell>
          <cell r="AE172">
            <v>8461210</v>
          </cell>
          <cell r="AF172" t="str">
            <v>Insurance Motor Flt</v>
          </cell>
          <cell r="AG172">
            <v>321170133</v>
          </cell>
          <cell r="AH172">
            <v>8461130</v>
          </cell>
          <cell r="AI172" t="str">
            <v>Ins Marine Stock T/O</v>
          </cell>
          <cell r="AJ172">
            <v>1208221875</v>
          </cell>
          <cell r="AK172">
            <v>8461130</v>
          </cell>
          <cell r="AL172" t="str">
            <v>Ins Marine Stock T/O</v>
          </cell>
          <cell r="AM172">
            <v>628811751</v>
          </cell>
        </row>
        <row r="173">
          <cell r="A173">
            <v>8431160</v>
          </cell>
          <cell r="B173" t="str">
            <v>Repr Maint Facility</v>
          </cell>
          <cell r="C173">
            <v>110878520</v>
          </cell>
          <cell r="M173">
            <v>9151110</v>
          </cell>
          <cell r="N173" t="str">
            <v>Bank Guarantee Chg</v>
          </cell>
          <cell r="O173">
            <v>0</v>
          </cell>
          <cell r="P173">
            <v>9151110</v>
          </cell>
          <cell r="Q173" t="str">
            <v>Bank Guarantee Chg</v>
          </cell>
          <cell r="R173">
            <v>5470171</v>
          </cell>
          <cell r="S173">
            <v>9151120</v>
          </cell>
          <cell r="T173" t="str">
            <v>Bank Charges</v>
          </cell>
          <cell r="U173">
            <v>6651367</v>
          </cell>
          <cell r="V173">
            <v>8451110</v>
          </cell>
          <cell r="W173" t="str">
            <v>Sattelite Comm</v>
          </cell>
          <cell r="X173">
            <v>9090762</v>
          </cell>
          <cell r="Y173">
            <v>8471110</v>
          </cell>
          <cell r="Z173" t="str">
            <v>Facility Water</v>
          </cell>
          <cell r="AA173">
            <v>1511908</v>
          </cell>
          <cell r="AB173">
            <v>8461170</v>
          </cell>
          <cell r="AC173" t="str">
            <v>Ins Health Int Medic</v>
          </cell>
          <cell r="AD173">
            <v>0</v>
          </cell>
          <cell r="AE173">
            <v>8471110</v>
          </cell>
          <cell r="AF173" t="str">
            <v>Facility Water</v>
          </cell>
          <cell r="AG173">
            <v>1002818</v>
          </cell>
          <cell r="AH173">
            <v>8461210</v>
          </cell>
          <cell r="AI173" t="str">
            <v>Insurance Motor Flt</v>
          </cell>
          <cell r="AJ173">
            <v>22479775</v>
          </cell>
          <cell r="AK173">
            <v>8461210</v>
          </cell>
          <cell r="AL173" t="str">
            <v>Insurance Motor Flt</v>
          </cell>
          <cell r="AM173">
            <v>-253196182</v>
          </cell>
        </row>
        <row r="174">
          <cell r="A174">
            <v>8431170</v>
          </cell>
          <cell r="B174" t="str">
            <v>Repr Maint Gen - Act</v>
          </cell>
          <cell r="C174">
            <v>3995693050</v>
          </cell>
          <cell r="M174">
            <v>9151120</v>
          </cell>
          <cell r="N174" t="str">
            <v>Bank Charges</v>
          </cell>
          <cell r="O174">
            <v>4309051</v>
          </cell>
          <cell r="P174">
            <v>9151120</v>
          </cell>
          <cell r="Q174" t="str">
            <v>Bank Charges</v>
          </cell>
          <cell r="R174">
            <v>7113045</v>
          </cell>
          <cell r="S174">
            <v>9151130</v>
          </cell>
          <cell r="T174" t="str">
            <v>Loan Commitment Fee</v>
          </cell>
          <cell r="U174">
            <v>12475403</v>
          </cell>
          <cell r="V174">
            <v>8461130</v>
          </cell>
          <cell r="W174" t="str">
            <v>Ins Marine Stock T/O</v>
          </cell>
          <cell r="X174">
            <v>0</v>
          </cell>
          <cell r="Y174">
            <v>8471120</v>
          </cell>
          <cell r="Z174" t="str">
            <v>Facility Electricity</v>
          </cell>
          <cell r="AA174">
            <v>20143175</v>
          </cell>
          <cell r="AB174">
            <v>8461180</v>
          </cell>
          <cell r="AC174" t="str">
            <v>Ins Money Risk</v>
          </cell>
          <cell r="AD174">
            <v>0</v>
          </cell>
          <cell r="AE174">
            <v>8471120</v>
          </cell>
          <cell r="AF174" t="str">
            <v>Facility Electricity</v>
          </cell>
          <cell r="AG174">
            <v>3791655</v>
          </cell>
          <cell r="AH174">
            <v>8471110</v>
          </cell>
          <cell r="AI174" t="str">
            <v>Facility Water</v>
          </cell>
          <cell r="AJ174">
            <v>2635045</v>
          </cell>
          <cell r="AK174">
            <v>8471110</v>
          </cell>
          <cell r="AL174" t="str">
            <v>Facility Water</v>
          </cell>
          <cell r="AM174">
            <v>6446887</v>
          </cell>
        </row>
        <row r="175">
          <cell r="A175">
            <v>8431180</v>
          </cell>
          <cell r="B175" t="str">
            <v>Repr Maint Ohd - Act</v>
          </cell>
          <cell r="C175">
            <v>707073330</v>
          </cell>
          <cell r="M175">
            <v>9161110</v>
          </cell>
          <cell r="N175" t="str">
            <v>Misc Income(Exp)</v>
          </cell>
          <cell r="O175">
            <v>-59551000</v>
          </cell>
          <cell r="P175">
            <v>9151130</v>
          </cell>
          <cell r="Q175" t="str">
            <v>Loan Commitment Fee</v>
          </cell>
          <cell r="R175">
            <v>85198919</v>
          </cell>
          <cell r="S175">
            <v>9161110</v>
          </cell>
          <cell r="T175" t="str">
            <v>Misc Income(Exp)</v>
          </cell>
          <cell r="U175">
            <v>0</v>
          </cell>
          <cell r="V175">
            <v>8461210</v>
          </cell>
          <cell r="W175" t="str">
            <v>Insurance Motor Flt</v>
          </cell>
          <cell r="X175">
            <v>0</v>
          </cell>
          <cell r="Y175">
            <v>8511150</v>
          </cell>
          <cell r="Z175" t="str">
            <v>Overhead Recovery</v>
          </cell>
          <cell r="AA175">
            <v>-2710464</v>
          </cell>
          <cell r="AB175">
            <v>8461190</v>
          </cell>
          <cell r="AC175" t="str">
            <v>In Property All Risk</v>
          </cell>
          <cell r="AD175">
            <v>0</v>
          </cell>
          <cell r="AE175">
            <v>8511150</v>
          </cell>
          <cell r="AF175" t="str">
            <v>Overhead Recovery</v>
          </cell>
          <cell r="AG175">
            <v>9849925</v>
          </cell>
          <cell r="AH175">
            <v>8471120</v>
          </cell>
          <cell r="AI175" t="str">
            <v>Facility Electricity</v>
          </cell>
          <cell r="AJ175">
            <v>19180270</v>
          </cell>
          <cell r="AK175">
            <v>8471120</v>
          </cell>
          <cell r="AL175" t="str">
            <v>Facility Electricity</v>
          </cell>
          <cell r="AM175">
            <v>53344333</v>
          </cell>
        </row>
        <row r="176">
          <cell r="A176">
            <v>8431190</v>
          </cell>
          <cell r="B176" t="str">
            <v>Repr Maint MARC- Act</v>
          </cell>
          <cell r="C176">
            <v>47599809827</v>
          </cell>
          <cell r="M176">
            <v>9211130</v>
          </cell>
          <cell r="N176" t="str">
            <v>Interest Ext Deposit</v>
          </cell>
          <cell r="O176">
            <v>-14784000</v>
          </cell>
          <cell r="P176">
            <v>9161110</v>
          </cell>
          <cell r="Q176" t="str">
            <v>Misc Income(Exp)</v>
          </cell>
          <cell r="R176">
            <v>-4925200</v>
          </cell>
          <cell r="S176">
            <v>9211120</v>
          </cell>
          <cell r="T176" t="str">
            <v>Interest Ext Lease</v>
          </cell>
          <cell r="U176">
            <v>61493621</v>
          </cell>
          <cell r="V176">
            <v>8471110</v>
          </cell>
          <cell r="W176" t="str">
            <v>Facility Water</v>
          </cell>
          <cell r="X176">
            <v>475250</v>
          </cell>
          <cell r="Y176">
            <v>9131120</v>
          </cell>
          <cell r="Z176" t="str">
            <v>Rebates</v>
          </cell>
          <cell r="AA176">
            <v>0</v>
          </cell>
          <cell r="AB176">
            <v>8461210</v>
          </cell>
          <cell r="AC176" t="str">
            <v>Insurance Motor Flt</v>
          </cell>
          <cell r="AD176">
            <v>42204306</v>
          </cell>
          <cell r="AE176">
            <v>9151110</v>
          </cell>
          <cell r="AF176" t="str">
            <v>Bank Guarantee Chg</v>
          </cell>
          <cell r="AG176">
            <v>6203870</v>
          </cell>
          <cell r="AH176">
            <v>8511150</v>
          </cell>
          <cell r="AI176" t="str">
            <v>Overhead Recovery</v>
          </cell>
          <cell r="AJ176">
            <v>-1713418</v>
          </cell>
          <cell r="AK176">
            <v>8511140</v>
          </cell>
          <cell r="AL176" t="str">
            <v>Insurance Recovery</v>
          </cell>
          <cell r="AM176">
            <v>0</v>
          </cell>
        </row>
        <row r="177">
          <cell r="A177">
            <v>8431210</v>
          </cell>
          <cell r="B177" t="str">
            <v>Repr Maint OH calc.</v>
          </cell>
          <cell r="C177">
            <v>2372478580</v>
          </cell>
          <cell r="M177">
            <v>9211140</v>
          </cell>
          <cell r="N177" t="str">
            <v>Interest Ext Jagir</v>
          </cell>
          <cell r="O177">
            <v>-12693245</v>
          </cell>
          <cell r="P177">
            <v>9211130</v>
          </cell>
          <cell r="Q177" t="str">
            <v>Interest Ext Deposit</v>
          </cell>
          <cell r="R177">
            <v>-10049666</v>
          </cell>
          <cell r="S177">
            <v>9211130</v>
          </cell>
          <cell r="T177" t="str">
            <v>Interest Ext Deposit</v>
          </cell>
          <cell r="U177">
            <v>-9569666</v>
          </cell>
          <cell r="V177">
            <v>8471120</v>
          </cell>
          <cell r="W177" t="str">
            <v>Facility Electricity</v>
          </cell>
          <cell r="X177">
            <v>7571689</v>
          </cell>
          <cell r="Y177">
            <v>9141110</v>
          </cell>
          <cell r="Z177" t="str">
            <v>Bad Debt Specific</v>
          </cell>
          <cell r="AA177">
            <v>0</v>
          </cell>
          <cell r="AB177">
            <v>8471110</v>
          </cell>
          <cell r="AC177" t="str">
            <v>Facility Water</v>
          </cell>
          <cell r="AD177">
            <v>3083496</v>
          </cell>
          <cell r="AE177">
            <v>9151120</v>
          </cell>
          <cell r="AF177" t="str">
            <v>Bank Charges</v>
          </cell>
          <cell r="AG177">
            <v>11770147</v>
          </cell>
          <cell r="AH177">
            <v>9151120</v>
          </cell>
          <cell r="AI177" t="str">
            <v>Bank Charges</v>
          </cell>
          <cell r="AJ177">
            <v>1199655</v>
          </cell>
          <cell r="AK177">
            <v>8511150</v>
          </cell>
          <cell r="AL177" t="str">
            <v>Overhead Recovery</v>
          </cell>
          <cell r="AM177">
            <v>23070864</v>
          </cell>
        </row>
        <row r="178">
          <cell r="A178">
            <v>8432110</v>
          </cell>
          <cell r="B178" t="str">
            <v>Sub Contracting</v>
          </cell>
          <cell r="C178">
            <v>169597595</v>
          </cell>
          <cell r="M178">
            <v>9211150</v>
          </cell>
          <cell r="N178" t="str">
            <v>Interest Charges</v>
          </cell>
          <cell r="O178">
            <v>2206164157</v>
          </cell>
          <cell r="P178">
            <v>9211140</v>
          </cell>
          <cell r="Q178" t="str">
            <v>Interest Ext Jagir</v>
          </cell>
          <cell r="R178">
            <v>-10500663</v>
          </cell>
          <cell r="S178">
            <v>9211140</v>
          </cell>
          <cell r="T178" t="str">
            <v>Interest Ext Jagir</v>
          </cell>
          <cell r="U178">
            <v>-12727227</v>
          </cell>
          <cell r="V178">
            <v>8511150</v>
          </cell>
          <cell r="W178" t="str">
            <v>Overhead Recovery</v>
          </cell>
          <cell r="X178">
            <v>-21857446</v>
          </cell>
          <cell r="Y178">
            <v>9151110</v>
          </cell>
          <cell r="Z178" t="str">
            <v>Bank Guarantee Chg</v>
          </cell>
          <cell r="AA178">
            <v>0</v>
          </cell>
          <cell r="AB178">
            <v>8471120</v>
          </cell>
          <cell r="AC178" t="str">
            <v>Facility Electricity</v>
          </cell>
          <cell r="AD178">
            <v>3103685</v>
          </cell>
          <cell r="AE178">
            <v>9161110</v>
          </cell>
          <cell r="AF178" t="str">
            <v>Misc Income(Exp)</v>
          </cell>
          <cell r="AG178">
            <v>-9427500</v>
          </cell>
          <cell r="AH178">
            <v>9161110</v>
          </cell>
          <cell r="AI178" t="str">
            <v>Misc Income(Exp)</v>
          </cell>
          <cell r="AJ178">
            <v>-10539545909</v>
          </cell>
          <cell r="AK178">
            <v>9131110</v>
          </cell>
          <cell r="AL178" t="str">
            <v>Cash Discount</v>
          </cell>
          <cell r="AM178">
            <v>-160000</v>
          </cell>
        </row>
        <row r="179">
          <cell r="A179">
            <v>8441110</v>
          </cell>
          <cell r="B179" t="str">
            <v>Inf Software Mnt Fee</v>
          </cell>
          <cell r="C179">
            <v>26553500</v>
          </cell>
          <cell r="M179">
            <v>9231110</v>
          </cell>
          <cell r="N179" t="str">
            <v>Unrealiz Exch Gn/Ls</v>
          </cell>
          <cell r="O179">
            <v>754452451</v>
          </cell>
          <cell r="P179">
            <v>9211150</v>
          </cell>
          <cell r="Q179" t="str">
            <v>Interest Charges</v>
          </cell>
          <cell r="R179">
            <v>2609322040</v>
          </cell>
          <cell r="S179">
            <v>9211150</v>
          </cell>
          <cell r="T179" t="str">
            <v>Interest Charges</v>
          </cell>
          <cell r="U179">
            <v>2499050984</v>
          </cell>
          <cell r="V179">
            <v>9131110</v>
          </cell>
          <cell r="W179" t="str">
            <v>Cash Discount</v>
          </cell>
          <cell r="X179">
            <v>-18000</v>
          </cell>
          <cell r="Y179">
            <v>9151120</v>
          </cell>
          <cell r="Z179" t="str">
            <v>Bank Charges</v>
          </cell>
          <cell r="AA179">
            <v>8105490</v>
          </cell>
          <cell r="AB179">
            <v>8511150</v>
          </cell>
          <cell r="AC179" t="str">
            <v>Overhead Recovery</v>
          </cell>
          <cell r="AD179">
            <v>-44328467</v>
          </cell>
          <cell r="AE179">
            <v>9211120</v>
          </cell>
          <cell r="AF179" t="str">
            <v>Interest Ext Lease</v>
          </cell>
          <cell r="AG179">
            <v>207863970</v>
          </cell>
          <cell r="AH179">
            <v>9161120</v>
          </cell>
          <cell r="AI179" t="str">
            <v>Misc Scrap Sales</v>
          </cell>
          <cell r="AJ179">
            <v>0</v>
          </cell>
          <cell r="AK179">
            <v>9131120</v>
          </cell>
          <cell r="AL179" t="str">
            <v>Rebates</v>
          </cell>
          <cell r="AM179">
            <v>-1294480434</v>
          </cell>
        </row>
        <row r="180">
          <cell r="A180">
            <v>8441120</v>
          </cell>
          <cell r="B180" t="str">
            <v>Repr &amp; Maint Comp Eq</v>
          </cell>
          <cell r="C180">
            <v>2865000</v>
          </cell>
          <cell r="M180">
            <v>9231120</v>
          </cell>
          <cell r="N180" t="str">
            <v>Realiz Exc Gain/Loss</v>
          </cell>
          <cell r="O180">
            <v>417190436</v>
          </cell>
          <cell r="P180">
            <v>9221110</v>
          </cell>
          <cell r="Q180" t="str">
            <v>Interest Internal</v>
          </cell>
          <cell r="R180">
            <v>63808325</v>
          </cell>
          <cell r="S180">
            <v>9221110</v>
          </cell>
          <cell r="T180" t="str">
            <v>Interest Internal</v>
          </cell>
          <cell r="U180">
            <v>122471148</v>
          </cell>
          <cell r="V180">
            <v>9131120</v>
          </cell>
          <cell r="W180" t="str">
            <v>Rebates</v>
          </cell>
          <cell r="X180">
            <v>-1813411691</v>
          </cell>
          <cell r="Y180">
            <v>9161110</v>
          </cell>
          <cell r="Z180" t="str">
            <v>Misc Income(Exp)</v>
          </cell>
          <cell r="AA180">
            <v>-6860000</v>
          </cell>
          <cell r="AB180">
            <v>9131110</v>
          </cell>
          <cell r="AC180" t="str">
            <v>Cash Discount</v>
          </cell>
          <cell r="AD180">
            <v>-232000</v>
          </cell>
          <cell r="AE180">
            <v>9211130</v>
          </cell>
          <cell r="AF180" t="str">
            <v>Interest Ext Deposit</v>
          </cell>
          <cell r="AG180">
            <v>-1020000</v>
          </cell>
          <cell r="AH180">
            <v>9161140</v>
          </cell>
          <cell r="AI180" t="str">
            <v>Tax Penalty</v>
          </cell>
          <cell r="AJ180">
            <v>650000</v>
          </cell>
          <cell r="AK180">
            <v>9141110</v>
          </cell>
          <cell r="AL180" t="str">
            <v>Bad Debt Specific</v>
          </cell>
          <cell r="AM180">
            <v>243949610</v>
          </cell>
        </row>
        <row r="181">
          <cell r="A181">
            <v>8451110</v>
          </cell>
          <cell r="B181" t="str">
            <v>Sattelite Comm</v>
          </cell>
          <cell r="C181">
            <v>100547702</v>
          </cell>
          <cell r="P181">
            <v>9231110</v>
          </cell>
          <cell r="Q181" t="str">
            <v>Unrealiz Exch Gn/Ls</v>
          </cell>
          <cell r="R181">
            <v>-70149006</v>
          </cell>
          <cell r="S181">
            <v>9231110</v>
          </cell>
          <cell r="T181" t="str">
            <v>Unrealiz Exch Gn/Ls</v>
          </cell>
          <cell r="U181">
            <v>-1247312880</v>
          </cell>
          <cell r="V181">
            <v>9141110</v>
          </cell>
          <cell r="W181" t="str">
            <v>Bad Debt Specific</v>
          </cell>
          <cell r="X181">
            <v>0</v>
          </cell>
          <cell r="Y181">
            <v>9161140</v>
          </cell>
          <cell r="Z181" t="str">
            <v>Tax Penalty</v>
          </cell>
          <cell r="AA181">
            <v>0</v>
          </cell>
          <cell r="AB181">
            <v>9131120</v>
          </cell>
          <cell r="AC181" t="str">
            <v>Rebates</v>
          </cell>
          <cell r="AD181">
            <v>0</v>
          </cell>
          <cell r="AE181">
            <v>9211140</v>
          </cell>
          <cell r="AF181" t="str">
            <v>Interest Ext Jagir</v>
          </cell>
          <cell r="AG181">
            <v>-7972305</v>
          </cell>
          <cell r="AH181">
            <v>9161160</v>
          </cell>
          <cell r="AI181" t="str">
            <v>Gain/Loss fr Inv Rev</v>
          </cell>
          <cell r="AJ181">
            <v>0</v>
          </cell>
          <cell r="AK181">
            <v>9151120</v>
          </cell>
          <cell r="AL181" t="str">
            <v>Bank Charges</v>
          </cell>
          <cell r="AM181">
            <v>25846502</v>
          </cell>
        </row>
        <row r="182">
          <cell r="A182">
            <v>8461110</v>
          </cell>
          <cell r="B182" t="str">
            <v>Vehicle Insurance</v>
          </cell>
          <cell r="C182">
            <v>0</v>
          </cell>
          <cell r="P182">
            <v>9231120</v>
          </cell>
          <cell r="Q182" t="str">
            <v>Realiz Exc Gain/Loss</v>
          </cell>
          <cell r="R182">
            <v>1166476794</v>
          </cell>
          <cell r="S182">
            <v>9231120</v>
          </cell>
          <cell r="T182" t="str">
            <v>Realiz Exc Gain/Loss</v>
          </cell>
          <cell r="U182">
            <v>1385337331</v>
          </cell>
          <cell r="V182">
            <v>9151120</v>
          </cell>
          <cell r="W182" t="str">
            <v>Bank Charges</v>
          </cell>
          <cell r="X182">
            <v>6950061</v>
          </cell>
          <cell r="Y182">
            <v>9211120</v>
          </cell>
          <cell r="Z182" t="str">
            <v>Interest Ext Lease</v>
          </cell>
          <cell r="AA182">
            <v>207957150</v>
          </cell>
          <cell r="AB182">
            <v>9141110</v>
          </cell>
          <cell r="AC182" t="str">
            <v>Bad Debt Specific</v>
          </cell>
          <cell r="AD182">
            <v>0</v>
          </cell>
          <cell r="AE182">
            <v>9211150</v>
          </cell>
          <cell r="AF182" t="str">
            <v>Interest Charges</v>
          </cell>
          <cell r="AG182">
            <v>1987693653</v>
          </cell>
          <cell r="AH182">
            <v>9211130</v>
          </cell>
          <cell r="AI182" t="str">
            <v>Interest Ext Deposit</v>
          </cell>
          <cell r="AJ182">
            <v>-1020000</v>
          </cell>
          <cell r="AK182">
            <v>9161110</v>
          </cell>
          <cell r="AL182" t="str">
            <v>Misc Income(Exp)</v>
          </cell>
          <cell r="AM182">
            <v>-21828500</v>
          </cell>
        </row>
        <row r="183">
          <cell r="A183">
            <v>8461120</v>
          </cell>
          <cell r="B183" t="str">
            <v>Building Insurance</v>
          </cell>
          <cell r="C183">
            <v>70000</v>
          </cell>
          <cell r="V183">
            <v>9151130</v>
          </cell>
          <cell r="W183" t="str">
            <v>Loan Commitment Fee</v>
          </cell>
          <cell r="X183">
            <v>27566698</v>
          </cell>
          <cell r="Y183">
            <v>9211130</v>
          </cell>
          <cell r="Z183" t="str">
            <v>Interest Ext Deposit</v>
          </cell>
          <cell r="AA183">
            <v>-1260000</v>
          </cell>
          <cell r="AB183">
            <v>9151110</v>
          </cell>
          <cell r="AC183" t="str">
            <v>Bank Guarantee Chg</v>
          </cell>
          <cell r="AD183">
            <v>12541943</v>
          </cell>
          <cell r="AE183">
            <v>9221110</v>
          </cell>
          <cell r="AF183" t="str">
            <v>Interest Internal</v>
          </cell>
          <cell r="AG183">
            <v>194445787</v>
          </cell>
          <cell r="AH183">
            <v>9211140</v>
          </cell>
          <cell r="AI183" t="str">
            <v>Interest Ext Jagir</v>
          </cell>
          <cell r="AJ183">
            <v>-4105355</v>
          </cell>
          <cell r="AK183">
            <v>9211120</v>
          </cell>
          <cell r="AL183" t="str">
            <v>Interest Ext Lease</v>
          </cell>
          <cell r="AM183">
            <v>407966218</v>
          </cell>
        </row>
        <row r="184">
          <cell r="A184">
            <v>8461130</v>
          </cell>
          <cell r="B184" t="str">
            <v>Ins Marine Stock T/O</v>
          </cell>
          <cell r="C184">
            <v>1267453012</v>
          </cell>
          <cell r="V184">
            <v>9161110</v>
          </cell>
          <cell r="W184" t="str">
            <v>Misc Income(Exp)</v>
          </cell>
          <cell r="X184">
            <v>-364015811</v>
          </cell>
          <cell r="Y184">
            <v>9211140</v>
          </cell>
          <cell r="Z184" t="str">
            <v>Interest Ext Jagir</v>
          </cell>
          <cell r="AA184">
            <v>-14358183</v>
          </cell>
          <cell r="AB184">
            <v>9151120</v>
          </cell>
          <cell r="AC184" t="str">
            <v>Bank Charges</v>
          </cell>
          <cell r="AD184">
            <v>10321045</v>
          </cell>
          <cell r="AE184">
            <v>9231110</v>
          </cell>
          <cell r="AF184" t="str">
            <v>Unrealiz Exch Gn/Ls</v>
          </cell>
          <cell r="AG184">
            <v>-1276053824</v>
          </cell>
          <cell r="AH184">
            <v>9211150</v>
          </cell>
          <cell r="AI184" t="str">
            <v>Interest Charges</v>
          </cell>
          <cell r="AJ184">
            <v>984307671</v>
          </cell>
          <cell r="AK184">
            <v>9211130</v>
          </cell>
          <cell r="AL184" t="str">
            <v>Interest Ext Deposit</v>
          </cell>
          <cell r="AM184">
            <v>-970000</v>
          </cell>
        </row>
        <row r="185">
          <cell r="A185">
            <v>8461140</v>
          </cell>
          <cell r="B185" t="str">
            <v>Ins Gen Liabl Prime</v>
          </cell>
          <cell r="C185">
            <v>69606900</v>
          </cell>
          <cell r="V185">
            <v>9211120</v>
          </cell>
          <cell r="W185" t="str">
            <v>Interest Ext Lease</v>
          </cell>
          <cell r="X185">
            <v>166549320</v>
          </cell>
          <cell r="Y185">
            <v>9211150</v>
          </cell>
          <cell r="Z185" t="str">
            <v>Interest Charges</v>
          </cell>
          <cell r="AA185">
            <v>2518958087</v>
          </cell>
          <cell r="AB185">
            <v>9161110</v>
          </cell>
          <cell r="AC185" t="str">
            <v>Misc Income(Exp)</v>
          </cell>
          <cell r="AD185">
            <v>-3800000</v>
          </cell>
          <cell r="AE185">
            <v>9231115</v>
          </cell>
          <cell r="AF185" t="str">
            <v>Unr Exch Gn/Ls  Leas</v>
          </cell>
          <cell r="AG185">
            <v>697499716</v>
          </cell>
          <cell r="AH185">
            <v>9231110</v>
          </cell>
          <cell r="AI185" t="str">
            <v>Unrealiz Exch Gn/Ls</v>
          </cell>
          <cell r="AJ185">
            <v>-776208776</v>
          </cell>
          <cell r="AK185">
            <v>9211140</v>
          </cell>
          <cell r="AL185" t="str">
            <v>Interest Ext Jagir</v>
          </cell>
          <cell r="AM185">
            <v>-18047765</v>
          </cell>
        </row>
        <row r="186">
          <cell r="A186">
            <v>8461160</v>
          </cell>
          <cell r="B186" t="str">
            <v>Ins Grp Life &amp; Disab</v>
          </cell>
          <cell r="C186">
            <v>1219300</v>
          </cell>
          <cell r="V186">
            <v>9211130</v>
          </cell>
          <cell r="W186" t="str">
            <v>Interest Ext Deposit</v>
          </cell>
          <cell r="X186">
            <v>-1582333</v>
          </cell>
          <cell r="Y186">
            <v>9221110</v>
          </cell>
          <cell r="Z186" t="str">
            <v>Interest Internal</v>
          </cell>
          <cell r="AA186">
            <v>151934426</v>
          </cell>
          <cell r="AB186">
            <v>9161160</v>
          </cell>
          <cell r="AC186" t="str">
            <v>Gain/Loss fr Inv Rev</v>
          </cell>
          <cell r="AD186">
            <v>0</v>
          </cell>
          <cell r="AE186">
            <v>9231120</v>
          </cell>
          <cell r="AF186" t="str">
            <v>Realiz Exc Gain/Loss</v>
          </cell>
          <cell r="AG186">
            <v>420780372</v>
          </cell>
          <cell r="AH186">
            <v>9231115</v>
          </cell>
          <cell r="AI186" t="str">
            <v>Unr Exch Gn/Ls  Leas</v>
          </cell>
          <cell r="AJ186">
            <v>276367812</v>
          </cell>
          <cell r="AK186">
            <v>9211150</v>
          </cell>
          <cell r="AL186" t="str">
            <v>Interest Charges</v>
          </cell>
          <cell r="AM186">
            <v>5102440899</v>
          </cell>
        </row>
        <row r="187">
          <cell r="A187">
            <v>8461170</v>
          </cell>
          <cell r="B187" t="str">
            <v>Ins Health Int Medic</v>
          </cell>
          <cell r="C187">
            <v>3933800</v>
          </cell>
          <cell r="V187">
            <v>9211140</v>
          </cell>
          <cell r="W187" t="str">
            <v>Interest Ext Jagir</v>
          </cell>
          <cell r="X187">
            <v>-11062623</v>
          </cell>
          <cell r="Y187">
            <v>9231110</v>
          </cell>
          <cell r="Z187" t="str">
            <v>Unrealiz Exch Gn/Ls</v>
          </cell>
          <cell r="AA187">
            <v>-643079827</v>
          </cell>
          <cell r="AB187">
            <v>9211120</v>
          </cell>
          <cell r="AC187" t="str">
            <v>Interest Ext Lease</v>
          </cell>
          <cell r="AD187">
            <v>204204565</v>
          </cell>
          <cell r="AH187">
            <v>9231120</v>
          </cell>
          <cell r="AI187" t="str">
            <v>Realiz Exc Gain/Loss</v>
          </cell>
          <cell r="AJ187">
            <v>307844802</v>
          </cell>
          <cell r="AK187">
            <v>9221110</v>
          </cell>
          <cell r="AL187" t="str">
            <v>Interest Internal</v>
          </cell>
          <cell r="AM187">
            <v>611343893</v>
          </cell>
        </row>
        <row r="188">
          <cell r="A188">
            <v>8461180</v>
          </cell>
          <cell r="B188" t="str">
            <v>Ins Money Risk</v>
          </cell>
          <cell r="C188">
            <v>490485</v>
          </cell>
          <cell r="V188">
            <v>9211150</v>
          </cell>
          <cell r="W188" t="str">
            <v>Interest Charges</v>
          </cell>
          <cell r="X188">
            <v>2446833854</v>
          </cell>
          <cell r="Y188">
            <v>9231115</v>
          </cell>
          <cell r="Z188" t="str">
            <v>Unr Exch Gn/Ls  Leas</v>
          </cell>
          <cell r="AA188">
            <v>1030526998</v>
          </cell>
          <cell r="AB188">
            <v>9211130</v>
          </cell>
          <cell r="AC188" t="str">
            <v>Interest Ext Deposit</v>
          </cell>
          <cell r="AD188">
            <v>-1209999</v>
          </cell>
          <cell r="AK188">
            <v>9231110</v>
          </cell>
          <cell r="AL188" t="str">
            <v>Unrealiz Exch Gn/Ls</v>
          </cell>
          <cell r="AM188">
            <v>879068634</v>
          </cell>
        </row>
        <row r="189">
          <cell r="A189">
            <v>8461190</v>
          </cell>
          <cell r="B189" t="str">
            <v>In Property All Risk</v>
          </cell>
          <cell r="C189">
            <v>132078567</v>
          </cell>
          <cell r="V189">
            <v>9221110</v>
          </cell>
          <cell r="W189" t="str">
            <v>Interest Internal</v>
          </cell>
          <cell r="X189">
            <v>145244454</v>
          </cell>
          <cell r="Y189">
            <v>9231120</v>
          </cell>
          <cell r="Z189" t="str">
            <v>Realiz Exc Gain/Loss</v>
          </cell>
          <cell r="AA189">
            <v>-559166900</v>
          </cell>
          <cell r="AB189">
            <v>9211140</v>
          </cell>
          <cell r="AC189" t="str">
            <v>Interest Ext Jagir</v>
          </cell>
          <cell r="AD189">
            <v>-13398448</v>
          </cell>
          <cell r="AK189">
            <v>9231115</v>
          </cell>
          <cell r="AL189" t="str">
            <v>Unr Exch Gn/Ls  Leas</v>
          </cell>
          <cell r="AM189">
            <v>-473773392</v>
          </cell>
        </row>
        <row r="190">
          <cell r="A190">
            <v>8461210</v>
          </cell>
          <cell r="B190" t="str">
            <v>Insurance Motor Flt</v>
          </cell>
          <cell r="C190">
            <v>1723831249</v>
          </cell>
          <cell r="V190">
            <v>9231110</v>
          </cell>
          <cell r="W190" t="str">
            <v>Unrealiz Exch Gn/Ls</v>
          </cell>
          <cell r="X190">
            <v>-216852484</v>
          </cell>
          <cell r="AB190">
            <v>9211150</v>
          </cell>
          <cell r="AC190" t="str">
            <v>Interest Charges</v>
          </cell>
          <cell r="AD190">
            <v>-1597391056</v>
          </cell>
          <cell r="AK190">
            <v>9231120</v>
          </cell>
          <cell r="AL190" t="str">
            <v>Realiz Exc Gain/Loss</v>
          </cell>
          <cell r="AM190">
            <v>-997461684</v>
          </cell>
        </row>
        <row r="191">
          <cell r="A191">
            <v>8471110</v>
          </cell>
          <cell r="B191" t="str">
            <v>Facility Water</v>
          </cell>
          <cell r="C191">
            <v>3324357</v>
          </cell>
          <cell r="V191">
            <v>9231120</v>
          </cell>
          <cell r="W191" t="str">
            <v>Realiz Exc Gain/Loss</v>
          </cell>
          <cell r="X191">
            <v>-347239631</v>
          </cell>
          <cell r="AB191">
            <v>9221110</v>
          </cell>
          <cell r="AC191" t="str">
            <v>Interest Internal</v>
          </cell>
          <cell r="AD191">
            <v>192284482</v>
          </cell>
          <cell r="AK191">
            <v>8141110</v>
          </cell>
          <cell r="AL191" t="str">
            <v>Computer Charges</v>
          </cell>
          <cell r="AM191">
            <v>45000</v>
          </cell>
        </row>
        <row r="192">
          <cell r="A192">
            <v>8471120</v>
          </cell>
          <cell r="B192" t="str">
            <v>Facility Electricity</v>
          </cell>
          <cell r="C192">
            <v>77953254</v>
          </cell>
          <cell r="AB192">
            <v>9231110</v>
          </cell>
          <cell r="AC192" t="str">
            <v>Unrealiz Exch Gn/Ls</v>
          </cell>
          <cell r="AD192">
            <v>1273337318</v>
          </cell>
        </row>
        <row r="193">
          <cell r="A193">
            <v>8511130</v>
          </cell>
          <cell r="B193" t="str">
            <v>Vehicle Recovery</v>
          </cell>
          <cell r="C193">
            <v>0</v>
          </cell>
          <cell r="AB193">
            <v>9231115</v>
          </cell>
          <cell r="AC193" t="str">
            <v>Unr Exch Gn/Ls  Leas</v>
          </cell>
          <cell r="AD193">
            <v>-856767994</v>
          </cell>
        </row>
        <row r="194">
          <cell r="A194">
            <v>8511140</v>
          </cell>
          <cell r="B194" t="str">
            <v>Insurance Recovery</v>
          </cell>
          <cell r="C194">
            <v>9400000</v>
          </cell>
          <cell r="AB194">
            <v>9231120</v>
          </cell>
          <cell r="AC194" t="str">
            <v>Realiz Exc Gain/Loss</v>
          </cell>
          <cell r="AD194">
            <v>136968623</v>
          </cell>
        </row>
        <row r="195">
          <cell r="A195">
            <v>8511150</v>
          </cell>
          <cell r="B195" t="str">
            <v>Overhead Recovery</v>
          </cell>
          <cell r="C195">
            <v>-231432509</v>
          </cell>
        </row>
        <row r="196">
          <cell r="A196">
            <v>9131110</v>
          </cell>
          <cell r="B196" t="str">
            <v>Cash Discount</v>
          </cell>
          <cell r="C196">
            <v>-455423</v>
          </cell>
        </row>
        <row r="197">
          <cell r="A197">
            <v>9131120</v>
          </cell>
          <cell r="B197" t="str">
            <v>Rebates</v>
          </cell>
          <cell r="C197">
            <v>-4033510102</v>
          </cell>
        </row>
        <row r="198">
          <cell r="A198">
            <v>9141110</v>
          </cell>
          <cell r="B198" t="str">
            <v>Bad Debt Specific</v>
          </cell>
          <cell r="C198">
            <v>1647034257</v>
          </cell>
        </row>
        <row r="199">
          <cell r="A199">
            <v>9151110</v>
          </cell>
          <cell r="B199" t="str">
            <v>Bank Guarantee Chg</v>
          </cell>
          <cell r="C199">
            <v>9600315</v>
          </cell>
        </row>
        <row r="200">
          <cell r="A200">
            <v>9151120</v>
          </cell>
          <cell r="B200" t="str">
            <v>Bank Charges</v>
          </cell>
          <cell r="C200">
            <v>48794530</v>
          </cell>
        </row>
        <row r="201">
          <cell r="A201">
            <v>9161110</v>
          </cell>
          <cell r="B201" t="str">
            <v>Misc Income(Exp)</v>
          </cell>
          <cell r="C201">
            <v>-10869605481</v>
          </cell>
        </row>
        <row r="202">
          <cell r="A202">
            <v>9161120</v>
          </cell>
          <cell r="B202" t="str">
            <v>Misc Scrap Sales</v>
          </cell>
          <cell r="C202">
            <v>-7100000</v>
          </cell>
        </row>
        <row r="203">
          <cell r="A203">
            <v>9161140</v>
          </cell>
          <cell r="B203" t="str">
            <v>Tax Penalty</v>
          </cell>
          <cell r="C203">
            <v>223130756</v>
          </cell>
        </row>
        <row r="204">
          <cell r="A204">
            <v>9161160</v>
          </cell>
          <cell r="B204" t="str">
            <v>Gain/Loss fr Inv Rev</v>
          </cell>
          <cell r="C204">
            <v>629247</v>
          </cell>
        </row>
        <row r="205">
          <cell r="A205">
            <v>9211130</v>
          </cell>
          <cell r="B205" t="str">
            <v>Interest Ext Deposit</v>
          </cell>
          <cell r="C205">
            <v>-682870407</v>
          </cell>
        </row>
        <row r="206">
          <cell r="A206">
            <v>9211140</v>
          </cell>
          <cell r="B206" t="str">
            <v>Interest Ext Jagir</v>
          </cell>
          <cell r="C206">
            <v>-730522872</v>
          </cell>
        </row>
        <row r="207">
          <cell r="A207">
            <v>9211150</v>
          </cell>
          <cell r="B207" t="str">
            <v>Interest Charges</v>
          </cell>
          <cell r="C207">
            <v>41839499228</v>
          </cell>
        </row>
        <row r="208">
          <cell r="A208">
            <v>9231110</v>
          </cell>
          <cell r="B208" t="str">
            <v>Unrealiz Exch Gn/Ls</v>
          </cell>
          <cell r="C208">
            <v>3855595659</v>
          </cell>
        </row>
        <row r="209">
          <cell r="A209">
            <v>9231120</v>
          </cell>
          <cell r="B209" t="str">
            <v>Realiz Exc Gain/Loss</v>
          </cell>
          <cell r="C209">
            <v>10979129210</v>
          </cell>
        </row>
        <row r="210">
          <cell r="A210">
            <v>9241110</v>
          </cell>
          <cell r="B210" t="str">
            <v>Corp Tax Expense</v>
          </cell>
          <cell r="C210">
            <v>19909952333</v>
          </cell>
        </row>
        <row r="211">
          <cell r="A211">
            <v>9241120</v>
          </cell>
          <cell r="B211" t="str">
            <v>Def Tax Income/Exp</v>
          </cell>
          <cell r="C211">
            <v>0</v>
          </cell>
        </row>
        <row r="212">
          <cell r="A212">
            <v>9999999</v>
          </cell>
          <cell r="C212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INPUT"/>
      <sheetName val="RESULT"/>
      <sheetName val="Advance Payment"/>
      <sheetName val="Rekonsel"/>
      <sheetName val="Invoice Payment"/>
      <sheetName val="Cash on hand"/>
      <sheetName val="PA"/>
      <sheetName val="Kalkulasi"/>
      <sheetName val="Advance_Payment"/>
      <sheetName val="Invoice_Payment"/>
      <sheetName val="Cash_on_hand"/>
      <sheetName val="Advance_Payment1"/>
      <sheetName val="Invoice_Payment1"/>
      <sheetName val="Cash_on_hand1"/>
      <sheetName val="Advance_Payment2"/>
      <sheetName val="Invoice_Payment2"/>
      <sheetName val="Cash_on_hand2"/>
      <sheetName val="Advance_Payment3"/>
      <sheetName val="Invoice_Payment3"/>
      <sheetName val="Cash_on_hand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PUT"/>
      <sheetName val="RESULT"/>
      <sheetName val="Rekonsel"/>
      <sheetName val="Advance Payment"/>
      <sheetName val="Invoice Payment"/>
      <sheetName val="Cash on hand"/>
      <sheetName val="Kalkulasi"/>
      <sheetName val="Advance_Payment"/>
      <sheetName val="Invoice_Payment"/>
      <sheetName val="Cash_on_hand"/>
    </sheetNames>
    <sheetDataSet>
      <sheetData sheetId="0" refreshError="1">
        <row r="4">
          <cell r="B4" t="str">
            <v>Balance</v>
          </cell>
        </row>
        <row r="5">
          <cell r="B5" t="str">
            <v>Bank charges</v>
          </cell>
        </row>
        <row r="6">
          <cell r="B6" t="str">
            <v>C of S other</v>
          </cell>
        </row>
        <row r="7">
          <cell r="B7" t="str">
            <v>Charge to PTTU</v>
          </cell>
        </row>
        <row r="8">
          <cell r="B8" t="str">
            <v>Charge to TMT</v>
          </cell>
        </row>
        <row r="9">
          <cell r="B9" t="str">
            <v>Comp Chg</v>
          </cell>
        </row>
        <row r="10">
          <cell r="B10" t="str">
            <v>Credit / Out**</v>
          </cell>
        </row>
        <row r="11">
          <cell r="B11" t="str">
            <v>Debit / In</v>
          </cell>
        </row>
        <row r="12">
          <cell r="B12" t="str">
            <v>Donation</v>
          </cell>
        </row>
        <row r="13">
          <cell r="B13" t="str">
            <v>Drink</v>
          </cell>
        </row>
        <row r="14">
          <cell r="B14" t="str">
            <v>Employee Training</v>
          </cell>
        </row>
        <row r="15">
          <cell r="B15" t="str">
            <v>Entertaiment</v>
          </cell>
        </row>
        <row r="16">
          <cell r="B16" t="str">
            <v>Facility Electric</v>
          </cell>
        </row>
        <row r="17">
          <cell r="B17" t="str">
            <v>Facility Water</v>
          </cell>
        </row>
        <row r="18">
          <cell r="B18" t="str">
            <v>Grease</v>
          </cell>
        </row>
        <row r="19">
          <cell r="B19" t="str">
            <v>House Rent</v>
          </cell>
        </row>
        <row r="20">
          <cell r="B20" t="str">
            <v>Int. income</v>
          </cell>
        </row>
        <row r="21">
          <cell r="B21" t="str">
            <v>Legal Advice</v>
          </cell>
        </row>
        <row r="22">
          <cell r="B22" t="str">
            <v>Mail</v>
          </cell>
        </row>
        <row r="23">
          <cell r="B23" t="str">
            <v>Medical</v>
          </cell>
        </row>
        <row r="24">
          <cell r="B24" t="str">
            <v>Oil Consum</v>
          </cell>
        </row>
        <row r="25">
          <cell r="B25" t="str">
            <v>Other Charges</v>
          </cell>
        </row>
        <row r="26">
          <cell r="B26" t="str">
            <v>Other Overhead</v>
          </cell>
        </row>
        <row r="27">
          <cell r="B27" t="str">
            <v>Other PRE</v>
          </cell>
        </row>
        <row r="28">
          <cell r="B28" t="str">
            <v>Others licensi</v>
          </cell>
        </row>
        <row r="29">
          <cell r="B29" t="str">
            <v>Part Misc</v>
          </cell>
        </row>
        <row r="30">
          <cell r="B30" t="str">
            <v>Parts Deli</v>
          </cell>
        </row>
        <row r="31">
          <cell r="B31" t="str">
            <v>Parts Delivery</v>
          </cell>
        </row>
        <row r="32">
          <cell r="B32" t="str">
            <v>Parts Misc</v>
          </cell>
        </row>
        <row r="33">
          <cell r="B33" t="str">
            <v>Petrol</v>
          </cell>
        </row>
        <row r="34">
          <cell r="B34" t="str">
            <v>Phone</v>
          </cell>
        </row>
        <row r="35">
          <cell r="B35" t="str">
            <v>R&amp;M Veh</v>
          </cell>
        </row>
        <row r="36">
          <cell r="B36" t="str">
            <v>Recruit</v>
          </cell>
        </row>
        <row r="37">
          <cell r="B37" t="str">
            <v>Rep Facility</v>
          </cell>
        </row>
        <row r="38">
          <cell r="B38" t="str">
            <v>Salary Payable</v>
          </cell>
        </row>
        <row r="39">
          <cell r="B39" t="str">
            <v>Small Equip</v>
          </cell>
        </row>
        <row r="40">
          <cell r="B40" t="str">
            <v>Small Tool</v>
          </cell>
        </row>
        <row r="41">
          <cell r="B41" t="str">
            <v>Staff Loan</v>
          </cell>
        </row>
        <row r="42">
          <cell r="B42" t="str">
            <v>Stationery</v>
          </cell>
        </row>
        <row r="43">
          <cell r="B43" t="str">
            <v>Suplies int Use</v>
          </cell>
        </row>
        <row r="44">
          <cell r="B44" t="str">
            <v>Training</v>
          </cell>
        </row>
        <row r="45">
          <cell r="B45" t="str">
            <v>Travel Exp</v>
          </cell>
        </row>
        <row r="46">
          <cell r="B46" t="str">
            <v>Truck Expnse</v>
          </cell>
        </row>
        <row r="47">
          <cell r="B47" t="str">
            <v>Vehicle Charge</v>
          </cell>
        </row>
        <row r="48">
          <cell r="B48" t="str">
            <v>Workoutfit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Bonus"/>
      <sheetName val="Abdul Hamid"/>
      <sheetName val="Ahmad Nawawi"/>
      <sheetName val="Aidil Adha"/>
      <sheetName val="Amir"/>
      <sheetName val="Andi Anto"/>
      <sheetName val="Arif Husaini"/>
      <sheetName val="Asriansyah"/>
      <sheetName val="Awaludin"/>
      <sheetName val="Basri"/>
      <sheetName val="Burhanuddin"/>
      <sheetName val="Dahlan"/>
      <sheetName val="Erwin Aryanto"/>
      <sheetName val="Fadly"/>
      <sheetName val="Hairul Saleh"/>
      <sheetName val="Inrik"/>
      <sheetName val="Irham"/>
      <sheetName val="Jamhuri"/>
      <sheetName val="Jonny FG"/>
      <sheetName val="Jumiadi"/>
      <sheetName val="Kaharuddin"/>
      <sheetName val="Kasrudi"/>
      <sheetName val="Laurensius Nama"/>
      <sheetName val="M Ishak"/>
      <sheetName val="M. Ilham"/>
      <sheetName val="M. Riyada"/>
      <sheetName val="M. Tuo"/>
      <sheetName val="Maningar JS"/>
      <sheetName val="Matias Bith"/>
      <sheetName val="Mudi"/>
      <sheetName val="Moh. Sirih"/>
      <sheetName val="Muhamad Dahlan"/>
      <sheetName val="Mulyadi"/>
      <sheetName val="Nasruddin"/>
      <sheetName val="Randa"/>
      <sheetName val="Rudiman"/>
      <sheetName val="Saiyid MY"/>
      <sheetName val="Samsuriadi"/>
      <sheetName val="Sapriadi"/>
      <sheetName val="Sergius"/>
      <sheetName val="Sofyan"/>
      <sheetName val="Suparman"/>
      <sheetName val="Suparman2"/>
      <sheetName val="Syamsudin P"/>
      <sheetName val="Yanas"/>
      <sheetName val="Yeremias"/>
      <sheetName val="Yeva Susanti"/>
      <sheetName val="Yohanis TA"/>
      <sheetName val="Yulianto"/>
      <sheetName val="Andi Solihin"/>
      <sheetName val="Misri"/>
      <sheetName val="Samsam"/>
      <sheetName val="Yulianus Robby"/>
      <sheetName val="Slamet Triadi"/>
      <sheetName val="M. Darwis"/>
      <sheetName val="Mustari"/>
      <sheetName val="Sujadi"/>
      <sheetName val="Surino"/>
      <sheetName val="Wahyuni Subri"/>
      <sheetName val="Syamsudin Ola"/>
      <sheetName val="Amos Enop"/>
      <sheetName val="Bernadus A.L"/>
      <sheetName val="Jamaluddin"/>
      <sheetName val="Muhammad Yani"/>
      <sheetName val="Afif Mardianto"/>
      <sheetName val="I Komang Diantara"/>
      <sheetName val="Desty Palinggi"/>
      <sheetName val="Romy Herpianto"/>
      <sheetName val="Damai Tahan Uji"/>
      <sheetName val="Sarju"/>
      <sheetName val="Suliswanto B"/>
      <sheetName val="Budiarto"/>
      <sheetName val="Yuarno Batuil"/>
      <sheetName val="Yohanes Kamdi"/>
      <sheetName val="Randi Efendi"/>
      <sheetName val="Urbanus Mangesa"/>
      <sheetName val="Asdar Syamsu"/>
      <sheetName val="Alias"/>
      <sheetName val="Hardiansyah"/>
      <sheetName val="Andi Sudirman"/>
      <sheetName val="Sunarto (Pinjaman)"/>
      <sheetName val="Tobias Binus (Pinjaman)"/>
      <sheetName val="Ahmat Jazuli (Pinjaman)"/>
      <sheetName val="Sept 13"/>
      <sheetName val="Abdul_Hamid"/>
      <sheetName val="Ahmad_Nawawi"/>
      <sheetName val="Aidil_Adha"/>
      <sheetName val="Andi_Anto"/>
      <sheetName val="Arif_Husaini"/>
      <sheetName val="Erwin_Aryanto"/>
      <sheetName val="Hairul_Saleh"/>
      <sheetName val="Jonny_FG"/>
      <sheetName val="Laurensius_Nama"/>
      <sheetName val="M_Ishak"/>
      <sheetName val="M__Ilham"/>
      <sheetName val="M__Riyada"/>
      <sheetName val="M__Tuo"/>
      <sheetName val="Maningar_JS"/>
      <sheetName val="Matias_Bith"/>
      <sheetName val="Moh__Sirih"/>
      <sheetName val="Muhamad_Dahlan"/>
      <sheetName val="Saiyid_MY"/>
      <sheetName val="Syamsudin_P"/>
      <sheetName val="Yeva_Susanti"/>
      <sheetName val="Yohanis_TA"/>
      <sheetName val="Andi_Solihin"/>
      <sheetName val="Yulianus_Robby"/>
      <sheetName val="Slamet_Triadi"/>
      <sheetName val="M__Darwis"/>
      <sheetName val="Wahyuni_Subri"/>
      <sheetName val="Syamsudin_Ola"/>
      <sheetName val="Amos_Enop"/>
      <sheetName val="Bernadus_A_L"/>
      <sheetName val="Muhammad_Yani"/>
      <sheetName val="Afif_Mardianto"/>
      <sheetName val="I_Komang_Diantara"/>
      <sheetName val="Desty_Palinggi"/>
      <sheetName val="Romy_Herpianto"/>
      <sheetName val="Damai_Tahan_Uji"/>
      <sheetName val="Suliswanto_B"/>
      <sheetName val="Yuarno_Batuil"/>
      <sheetName val="Yohanes_Kamdi"/>
      <sheetName val="Randi_Efendi"/>
      <sheetName val="Urbanus_Mangesa"/>
      <sheetName val="Asdar_Syamsu"/>
      <sheetName val="Andi_Sudirman"/>
      <sheetName val="Sunarto_(Pinjaman)"/>
      <sheetName val="Tobias_Binus_(Pinjaman)"/>
      <sheetName val="Ahmat_Jazuli_(Pinjaman)"/>
      <sheetName val="Sept_13"/>
      <sheetName val="Abdul_Hamid1"/>
      <sheetName val="Ahmad_Nawawi1"/>
      <sheetName val="Aidil_Adha1"/>
      <sheetName val="Andi_Anto1"/>
      <sheetName val="Arif_Husaini1"/>
      <sheetName val="Erwin_Aryanto1"/>
      <sheetName val="Hairul_Saleh1"/>
      <sheetName val="Jonny_FG1"/>
      <sheetName val="Laurensius_Nama1"/>
      <sheetName val="M_Ishak1"/>
      <sheetName val="M__Ilham1"/>
      <sheetName val="M__Riyada1"/>
      <sheetName val="M__Tuo1"/>
      <sheetName val="Maningar_JS1"/>
      <sheetName val="Matias_Bith1"/>
      <sheetName val="Moh__Sirih1"/>
      <sheetName val="Muhamad_Dahlan1"/>
      <sheetName val="Saiyid_MY1"/>
      <sheetName val="Syamsudin_P1"/>
      <sheetName val="Yeva_Susanti1"/>
      <sheetName val="Yohanis_TA1"/>
      <sheetName val="Andi_Solihin1"/>
      <sheetName val="Yulianus_Robby1"/>
      <sheetName val="Slamet_Triadi1"/>
      <sheetName val="M__Darwis1"/>
      <sheetName val="Wahyuni_Subri1"/>
      <sheetName val="Syamsudin_Ola1"/>
      <sheetName val="Amos_Enop1"/>
      <sheetName val="Bernadus_A_L1"/>
      <sheetName val="Muhammad_Yani1"/>
      <sheetName val="Afif_Mardianto1"/>
      <sheetName val="I_Komang_Diantara1"/>
      <sheetName val="Desty_Palinggi1"/>
      <sheetName val="Romy_Herpianto1"/>
      <sheetName val="Damai_Tahan_Uji1"/>
      <sheetName val="Suliswanto_B1"/>
      <sheetName val="Yuarno_Batuil1"/>
      <sheetName val="Yohanes_Kamdi1"/>
      <sheetName val="Randi_Efendi1"/>
      <sheetName val="Urbanus_Mangesa1"/>
      <sheetName val="Asdar_Syamsu1"/>
      <sheetName val="Andi_Sudirman1"/>
      <sheetName val="Sunarto_(Pinjaman)1"/>
      <sheetName val="Tobias_Binus_(Pinjaman)1"/>
      <sheetName val="Ahmat_Jazuli_(Pinjaman)1"/>
      <sheetName val="Sept_131"/>
      <sheetName val="Abdul_Hamid2"/>
      <sheetName val="Ahmad_Nawawi2"/>
      <sheetName val="Aidil_Adha2"/>
      <sheetName val="Andi_Anto2"/>
      <sheetName val="Arif_Husaini2"/>
      <sheetName val="Erwin_Aryanto2"/>
      <sheetName val="Hairul_Saleh2"/>
      <sheetName val="Jonny_FG2"/>
      <sheetName val="Laurensius_Nama2"/>
      <sheetName val="M_Ishak2"/>
      <sheetName val="M__Ilham2"/>
      <sheetName val="M__Riyada2"/>
      <sheetName val="M__Tuo2"/>
      <sheetName val="Maningar_JS2"/>
      <sheetName val="Matias_Bith2"/>
      <sheetName val="Moh__Sirih2"/>
      <sheetName val="Muhamad_Dahlan2"/>
      <sheetName val="Saiyid_MY2"/>
      <sheetName val="Syamsudin_P2"/>
      <sheetName val="Yeva_Susanti2"/>
      <sheetName val="Yohanis_TA2"/>
      <sheetName val="Andi_Solihin2"/>
      <sheetName val="Yulianus_Robby2"/>
      <sheetName val="Slamet_Triadi2"/>
      <sheetName val="M__Darwis2"/>
      <sheetName val="Wahyuni_Subri2"/>
      <sheetName val="Syamsudin_Ola2"/>
      <sheetName val="Amos_Enop2"/>
      <sheetName val="Bernadus_A_L2"/>
      <sheetName val="Muhammad_Yani2"/>
      <sheetName val="Afif_Mardianto2"/>
      <sheetName val="I_Komang_Diantara2"/>
      <sheetName val="Desty_Palinggi2"/>
      <sheetName val="Romy_Herpianto2"/>
      <sheetName val="Damai_Tahan_Uji2"/>
      <sheetName val="Suliswanto_B2"/>
      <sheetName val="Yuarno_Batuil2"/>
      <sheetName val="Yohanes_Kamdi2"/>
      <sheetName val="Randi_Efendi2"/>
      <sheetName val="Urbanus_Mangesa2"/>
      <sheetName val="Asdar_Syamsu2"/>
      <sheetName val="Andi_Sudirman2"/>
      <sheetName val="Sunarto_(Pinjaman)2"/>
      <sheetName val="Tobias_Binus_(Pinjaman)2"/>
      <sheetName val="Ahmat_Jazuli_(Pinjaman)2"/>
      <sheetName val="Sept_132"/>
      <sheetName val="Abdul_Hamid3"/>
      <sheetName val="Ahmad_Nawawi3"/>
      <sheetName val="Aidil_Adha3"/>
      <sheetName val="Andi_Anto3"/>
      <sheetName val="Arif_Husaini3"/>
      <sheetName val="Erwin_Aryanto3"/>
      <sheetName val="Hairul_Saleh3"/>
      <sheetName val="Jonny_FG3"/>
      <sheetName val="Laurensius_Nama3"/>
      <sheetName val="M_Ishak3"/>
      <sheetName val="M__Ilham3"/>
      <sheetName val="M__Riyada3"/>
      <sheetName val="M__Tuo3"/>
      <sheetName val="Maningar_JS3"/>
      <sheetName val="Matias_Bith3"/>
      <sheetName val="Moh__Sirih3"/>
      <sheetName val="Muhamad_Dahlan3"/>
      <sheetName val="Saiyid_MY3"/>
      <sheetName val="Syamsudin_P3"/>
      <sheetName val="Yeva_Susanti3"/>
      <sheetName val="Yohanis_TA3"/>
      <sheetName val="Andi_Solihin3"/>
      <sheetName val="Yulianus_Robby3"/>
      <sheetName val="Slamet_Triadi3"/>
      <sheetName val="M__Darwis3"/>
      <sheetName val="Wahyuni_Subri3"/>
      <sheetName val="Syamsudin_Ola3"/>
      <sheetName val="Amos_Enop3"/>
      <sheetName val="Bernadus_A_L3"/>
      <sheetName val="Muhammad_Yani3"/>
      <sheetName val="Afif_Mardianto3"/>
      <sheetName val="I_Komang_Diantara3"/>
      <sheetName val="Desty_Palinggi3"/>
      <sheetName val="Romy_Herpianto3"/>
      <sheetName val="Damai_Tahan_Uji3"/>
      <sheetName val="Suliswanto_B3"/>
      <sheetName val="Yuarno_Batuil3"/>
      <sheetName val="Yohanes_Kamdi3"/>
      <sheetName val="Randi_Efendi3"/>
      <sheetName val="Urbanus_Mangesa3"/>
      <sheetName val="Asdar_Syamsu3"/>
      <sheetName val="Andi_Sudirman3"/>
      <sheetName val="Sunarto_(Pinjaman)3"/>
      <sheetName val="Tobias_Binus_(Pinjaman)3"/>
      <sheetName val="Ahmat_Jazuli_(Pinjaman)3"/>
      <sheetName val="Sept_133"/>
      <sheetName val="Component Details"/>
    </sheetNames>
    <sheetDataSet>
      <sheetData sheetId="0">
        <row r="14">
          <cell r="A14" t="str">
            <v>OPERATION</v>
          </cell>
        </row>
      </sheetData>
      <sheetData sheetId="1" refreshError="1">
        <row r="14">
          <cell r="A14" t="str">
            <v>OPERATION</v>
          </cell>
          <cell r="B14">
            <v>1</v>
          </cell>
          <cell r="C14">
            <v>0</v>
          </cell>
        </row>
        <row r="15">
          <cell r="A15" t="str">
            <v>SUPPORT</v>
          </cell>
          <cell r="B15">
            <v>0.7</v>
          </cell>
          <cell r="C15">
            <v>0</v>
          </cell>
        </row>
        <row r="16">
          <cell r="A16" t="str">
            <v>SERVICE</v>
          </cell>
          <cell r="B16">
            <v>0.4</v>
          </cell>
          <cell r="C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</row>
        <row r="49">
          <cell r="A49">
            <v>0</v>
          </cell>
          <cell r="B49">
            <v>0</v>
          </cell>
          <cell r="C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</row>
        <row r="51">
          <cell r="A51">
            <v>0</v>
          </cell>
          <cell r="B51">
            <v>0</v>
          </cell>
          <cell r="C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</row>
        <row r="57">
          <cell r="A57">
            <v>0</v>
          </cell>
          <cell r="B57">
            <v>0</v>
          </cell>
          <cell r="C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</row>
        <row r="60">
          <cell r="A60">
            <v>0</v>
          </cell>
          <cell r="B60">
            <v>0</v>
          </cell>
          <cell r="C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</row>
        <row r="64">
          <cell r="A64">
            <v>0</v>
          </cell>
          <cell r="B64">
            <v>0</v>
          </cell>
          <cell r="C64">
            <v>0</v>
          </cell>
        </row>
        <row r="65">
          <cell r="A65">
            <v>0</v>
          </cell>
          <cell r="B65">
            <v>0</v>
          </cell>
          <cell r="C65">
            <v>0</v>
          </cell>
        </row>
        <row r="66">
          <cell r="A66">
            <v>0</v>
          </cell>
          <cell r="B66">
            <v>0</v>
          </cell>
          <cell r="C66">
            <v>0</v>
          </cell>
        </row>
        <row r="67">
          <cell r="A67">
            <v>0</v>
          </cell>
          <cell r="B67">
            <v>0</v>
          </cell>
          <cell r="C67">
            <v>0</v>
          </cell>
        </row>
        <row r="68">
          <cell r="A68">
            <v>0</v>
          </cell>
          <cell r="B68">
            <v>0</v>
          </cell>
          <cell r="C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</row>
        <row r="85">
          <cell r="A85">
            <v>0</v>
          </cell>
          <cell r="B85">
            <v>0</v>
          </cell>
          <cell r="C85">
            <v>0</v>
          </cell>
        </row>
        <row r="86">
          <cell r="A86">
            <v>0</v>
          </cell>
          <cell r="B86">
            <v>0</v>
          </cell>
          <cell r="C86">
            <v>0</v>
          </cell>
        </row>
        <row r="87">
          <cell r="A87">
            <v>0</v>
          </cell>
          <cell r="B87">
            <v>0</v>
          </cell>
          <cell r="C87">
            <v>0</v>
          </cell>
        </row>
        <row r="88">
          <cell r="A88">
            <v>0</v>
          </cell>
          <cell r="B88">
            <v>0</v>
          </cell>
          <cell r="C88">
            <v>0</v>
          </cell>
        </row>
        <row r="89">
          <cell r="A89">
            <v>0</v>
          </cell>
          <cell r="B89">
            <v>0</v>
          </cell>
          <cell r="C89">
            <v>0</v>
          </cell>
        </row>
        <row r="90">
          <cell r="A90">
            <v>0</v>
          </cell>
          <cell r="B90">
            <v>0</v>
          </cell>
          <cell r="C90">
            <v>0</v>
          </cell>
        </row>
        <row r="91">
          <cell r="A91">
            <v>0</v>
          </cell>
          <cell r="B91">
            <v>0</v>
          </cell>
          <cell r="C91">
            <v>0</v>
          </cell>
        </row>
        <row r="92">
          <cell r="A92">
            <v>0</v>
          </cell>
          <cell r="B92">
            <v>0</v>
          </cell>
          <cell r="C92">
            <v>0</v>
          </cell>
        </row>
        <row r="93">
          <cell r="A93">
            <v>0</v>
          </cell>
          <cell r="B93">
            <v>0</v>
          </cell>
          <cell r="C9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greement Details"/>
      <sheetName val="Component Details"/>
      <sheetName val="Output"/>
      <sheetName val="Availability"/>
      <sheetName val="Reports"/>
      <sheetName val="Graphs"/>
      <sheetName val="Workings"/>
      <sheetName val="Notes"/>
      <sheetName val="Export Data"/>
      <sheetName val="Database Export"/>
      <sheetName val="Agreement_Details"/>
      <sheetName val="Component_Details"/>
      <sheetName val="Export_Data"/>
      <sheetName val="Database_Export"/>
      <sheetName val="Agreement_Details1"/>
      <sheetName val="Component_Details1"/>
      <sheetName val="Export_Data1"/>
      <sheetName val="Database_Export1"/>
      <sheetName val="Forecast RM 2020"/>
      <sheetName val="Draft RM Cost 2020"/>
      <sheetName val="Component Life Overdue"/>
      <sheetName val="Summaty History"/>
      <sheetName val="Pivot PCR"/>
      <sheetName val="EH Dashboard"/>
      <sheetName val="Lifetime Component"/>
      <sheetName val="Overdue Component"/>
      <sheetName val="Sheet2"/>
      <sheetName val="Agreement_Details2"/>
      <sheetName val="Component_Details2"/>
      <sheetName val="Export_Data2"/>
      <sheetName val="Database_Export2"/>
      <sheetName val="Agreement_Details3"/>
      <sheetName val="Component_Details3"/>
      <sheetName val="Export_Data3"/>
      <sheetName val="Database_Export3"/>
      <sheetName val="Agreement_Details4"/>
      <sheetName val="Component_Details4"/>
      <sheetName val="Export_Data4"/>
      <sheetName val="Database_Export4"/>
      <sheetName val="Agreement_Details5"/>
      <sheetName val="Component_Details5"/>
      <sheetName val="Export_Data5"/>
      <sheetName val="Database_Export5"/>
      <sheetName val="Depan"/>
      <sheetName val="IndexAPMC"/>
      <sheetName val="IndexWORKS"/>
      <sheetName val="IndexMCI"/>
      <sheetName val="Agreement_Details6"/>
      <sheetName val="Component_Details6"/>
      <sheetName val="Export_Data6"/>
      <sheetName val="Database_Export6"/>
      <sheetName val="Equipment Cost"/>
      <sheetName val="Aset"/>
      <sheetName val="SITE-E"/>
      <sheetName val="feb"/>
      <sheetName val="KPTJ001"/>
      <sheetName val="EX2500"/>
      <sheetName val="Agreement_Details7"/>
      <sheetName val="Component_Details7"/>
      <sheetName val="Export_Data7"/>
      <sheetName val="Database_Export7"/>
      <sheetName val="Forecast_RM_2020"/>
      <sheetName val="Draft_RM_Cost_2020"/>
      <sheetName val="Component_Life_Overdue"/>
      <sheetName val="Summaty_History"/>
      <sheetName val="Pivot_PCR"/>
      <sheetName val="EH_Dashboard"/>
      <sheetName val="Lifetime_Component"/>
      <sheetName val="Overdue_Component"/>
      <sheetName val="wipall"/>
      <sheetName val="Agreement_Details8"/>
      <sheetName val="Component_Details8"/>
      <sheetName val="Export_Data8"/>
      <sheetName val="Database_Export8"/>
      <sheetName val="Agreement_Details9"/>
      <sheetName val="Component_Details9"/>
      <sheetName val="Export_Data9"/>
      <sheetName val="Database_Export9"/>
      <sheetName val="Agreement_Details10"/>
      <sheetName val="Component_Details10"/>
      <sheetName val="Export_Data10"/>
      <sheetName val="Database_Export10"/>
      <sheetName val="Agreement_Details11"/>
      <sheetName val="Component_Details11"/>
      <sheetName val="Export_Data11"/>
      <sheetName val="Database_Export11"/>
      <sheetName val="Agreement_Details12"/>
      <sheetName val="Component_Details12"/>
      <sheetName val="Export_Data12"/>
      <sheetName val="Database_Export12"/>
      <sheetName val="Agreement_Details13"/>
      <sheetName val="Component_Details13"/>
      <sheetName val="Export_Data13"/>
      <sheetName val="Database_Export13"/>
      <sheetName val="Agreement_Details14"/>
      <sheetName val="Component_Details14"/>
      <sheetName val="Export_Data14"/>
      <sheetName val="Database_Export14"/>
      <sheetName val="Agreement_Details15"/>
      <sheetName val="Component_Details15"/>
      <sheetName val="Export_Data15"/>
      <sheetName val="Database_Export15"/>
      <sheetName val="Ref"/>
      <sheetName val="Parameter"/>
      <sheetName val="FS (2)"/>
      <sheetName val="GL"/>
      <sheetName val="Agreement_Details16"/>
      <sheetName val="Component_Details16"/>
      <sheetName val="Export_Data16"/>
      <sheetName val="Database_Export16"/>
      <sheetName val="Forecast_RM_20201"/>
      <sheetName val="Draft_RM_Cost_20201"/>
      <sheetName val="Component_Life_Overdue1"/>
      <sheetName val="Summaty_History1"/>
      <sheetName val="Pivot_PCR1"/>
      <sheetName val="EH_Dashboard1"/>
      <sheetName val="Lifetime_Component1"/>
      <sheetName val="Overdue_Component1"/>
      <sheetName val="Equipment_Cost"/>
      <sheetName val="FS_(2)"/>
      <sheetName val="Agreement_Details17"/>
      <sheetName val="Component_Details17"/>
      <sheetName val="Export_Data17"/>
      <sheetName val="Database_Export17"/>
      <sheetName val="Forecast_RM_20202"/>
      <sheetName val="Draft_RM_Cost_20202"/>
      <sheetName val="Component_Life_Overdue2"/>
      <sheetName val="Summaty_History2"/>
      <sheetName val="Pivot_PCR2"/>
      <sheetName val="EH_Dashboard2"/>
      <sheetName val="Lifetime_Component2"/>
      <sheetName val="Overdue_Component2"/>
      <sheetName val="Equipment_Cost1"/>
      <sheetName val="FS_(2)1"/>
      <sheetName val="BS"/>
      <sheetName val="Agreement_Details18"/>
      <sheetName val="Component_Details18"/>
      <sheetName val="Export_Data18"/>
      <sheetName val="Database_Export18"/>
      <sheetName val="Forecast_RM_20203"/>
      <sheetName val="Draft_RM_Cost_20203"/>
      <sheetName val="Component_Life_Overdue3"/>
      <sheetName val="Summaty_History3"/>
      <sheetName val="Pivot_PCR3"/>
      <sheetName val="EH_Dashboard3"/>
      <sheetName val="Lifetime_Component3"/>
      <sheetName val="Overdue_Component3"/>
      <sheetName val="Equipment_Cost2"/>
      <sheetName val="FS_(2)2"/>
      <sheetName val="Bonus"/>
      <sheetName val="Sheet1"/>
    </sheetNames>
    <sheetDataSet>
      <sheetData sheetId="0">
        <row r="293">
          <cell r="A293" t="str">
            <v>10 Svc Hour Maintenance</v>
          </cell>
        </row>
      </sheetData>
      <sheetData sheetId="1">
        <row r="293">
          <cell r="A293" t="str">
            <v>10 Svc Hour Maintenance</v>
          </cell>
        </row>
      </sheetData>
      <sheetData sheetId="2" refreshError="1">
        <row r="293">
          <cell r="A293" t="str">
            <v>10 Svc Hour Maintenance</v>
          </cell>
        </row>
        <row r="294">
          <cell r="A294" t="str">
            <v>1000 Service Hour Maintenance (PM)</v>
          </cell>
        </row>
        <row r="295">
          <cell r="A295" t="str">
            <v>2000 Service Hour Maintenance (PM)</v>
          </cell>
        </row>
        <row r="296">
          <cell r="A296" t="str">
            <v>250 Service Hour Maintenance (PM)</v>
          </cell>
        </row>
        <row r="297">
          <cell r="A297" t="str">
            <v>3000 Service Hour Maintenance (PM)</v>
          </cell>
        </row>
        <row r="298">
          <cell r="A298" t="str">
            <v>4000 Service Hour Maintenance (PM)</v>
          </cell>
        </row>
        <row r="299">
          <cell r="A299" t="str">
            <v>500 Service Hour Maintenance (PM)</v>
          </cell>
        </row>
        <row r="300">
          <cell r="A300" t="str">
            <v>A' Frame Ass</v>
          </cell>
        </row>
        <row r="301">
          <cell r="A301" t="str">
            <v>A.E.T.A Unit</v>
          </cell>
        </row>
        <row r="302">
          <cell r="A302" t="str">
            <v>Access Steps &amp; Panels</v>
          </cell>
        </row>
        <row r="303">
          <cell r="A303" t="str">
            <v>Accumulator</v>
          </cell>
        </row>
        <row r="304">
          <cell r="A304" t="str">
            <v>Adjustable St Column</v>
          </cell>
        </row>
        <row r="305">
          <cell r="A305" t="str">
            <v>Air &amp; Hydraulic Hose</v>
          </cell>
        </row>
        <row r="306">
          <cell r="A306" t="str">
            <v>Air Cleaner Gp + Lines</v>
          </cell>
        </row>
        <row r="307">
          <cell r="A307" t="str">
            <v>Air Compressor</v>
          </cell>
        </row>
        <row r="308">
          <cell r="A308" t="str">
            <v>Air Conditioner</v>
          </cell>
        </row>
        <row r="309">
          <cell r="A309" t="str">
            <v>Air Conditioning Compressor</v>
          </cell>
        </row>
        <row r="310">
          <cell r="A310" t="str">
            <v>Air Dryer</v>
          </cell>
        </row>
        <row r="311">
          <cell r="A311" t="str">
            <v>Air Lines</v>
          </cell>
        </row>
        <row r="312">
          <cell r="A312" t="str">
            <v>Alternator</v>
          </cell>
        </row>
        <row r="313">
          <cell r="A313" t="str">
            <v>Articulated Pin</v>
          </cell>
        </row>
        <row r="314">
          <cell r="A314" t="str">
            <v>Articulation &amp; Frame Bores</v>
          </cell>
        </row>
        <row r="315">
          <cell r="A315" t="str">
            <v>Articulation Cylinder</v>
          </cell>
        </row>
        <row r="316">
          <cell r="A316" t="str">
            <v>Aux. Water Pump</v>
          </cell>
        </row>
        <row r="317">
          <cell r="A317" t="str">
            <v>Axle &amp; Differential (Center)</v>
          </cell>
        </row>
        <row r="318">
          <cell r="A318" t="str">
            <v>Axle &amp; Differential (Front)</v>
          </cell>
        </row>
        <row r="319">
          <cell r="A319" t="str">
            <v>Axle &amp; Differential (Rear)</v>
          </cell>
        </row>
        <row r="320">
          <cell r="A320" t="str">
            <v>Axle Cooling Pump</v>
          </cell>
        </row>
        <row r="321">
          <cell r="A321" t="str">
            <v>Axle Housing Assembly</v>
          </cell>
        </row>
        <row r="322">
          <cell r="A322" t="str">
            <v>Axle Oil Cooler</v>
          </cell>
        </row>
        <row r="323">
          <cell r="A323" t="str">
            <v>Axle Shaft</v>
          </cell>
        </row>
        <row r="324">
          <cell r="A324" t="str">
            <v>Axle Suspension (Center)</v>
          </cell>
        </row>
        <row r="325">
          <cell r="A325" t="str">
            <v>Axle Suspension (Front)</v>
          </cell>
        </row>
        <row r="326">
          <cell r="A326" t="str">
            <v>Axle Suspension (Rear)</v>
          </cell>
        </row>
        <row r="327">
          <cell r="A327" t="str">
            <v>Axle/Diff./F.Drive/Brake (Front)</v>
          </cell>
        </row>
        <row r="328">
          <cell r="A328" t="str">
            <v>Axle/Diff./F.Drive/Brake (Rear)</v>
          </cell>
        </row>
        <row r="329">
          <cell r="A329" t="str">
            <v>Batteries</v>
          </cell>
        </row>
        <row r="330">
          <cell r="A330" t="str">
            <v>Belt Tightener</v>
          </cell>
        </row>
        <row r="331">
          <cell r="A331" t="str">
            <v>Bevel &amp; Transfer Gear</v>
          </cell>
        </row>
        <row r="332">
          <cell r="A332" t="str">
            <v>Bevel Gear</v>
          </cell>
        </row>
        <row r="333">
          <cell r="A333" t="str">
            <v>Blade Assembly</v>
          </cell>
        </row>
        <row r="334">
          <cell r="A334" t="str">
            <v>Blade Lift Arms</v>
          </cell>
        </row>
        <row r="335">
          <cell r="A335" t="str">
            <v>Blade Lift Cylinder</v>
          </cell>
        </row>
        <row r="336">
          <cell r="A336" t="str">
            <v>Blade Tip Cylinder</v>
          </cell>
        </row>
        <row r="337">
          <cell r="A337" t="str">
            <v>Body Pivot Pins &amp; Bearing</v>
          </cell>
        </row>
        <row r="338">
          <cell r="A338" t="str">
            <v>Boom</v>
          </cell>
        </row>
        <row r="339">
          <cell r="A339" t="str">
            <v>Boom Cylinder</v>
          </cell>
        </row>
        <row r="340">
          <cell r="A340" t="str">
            <v>Brake (Front)</v>
          </cell>
        </row>
        <row r="341">
          <cell r="A341" t="str">
            <v>Brake (Rear)</v>
          </cell>
        </row>
        <row r="342">
          <cell r="A342" t="str">
            <v xml:space="preserve">Brake Cooling </v>
          </cell>
        </row>
        <row r="343">
          <cell r="A343" t="str">
            <v>Brake Hydraulic System</v>
          </cell>
        </row>
        <row r="344">
          <cell r="A344" t="str">
            <v>Brake Lines Gp</v>
          </cell>
        </row>
        <row r="345">
          <cell r="A345" t="str">
            <v>Brake Service Pump</v>
          </cell>
        </row>
        <row r="346">
          <cell r="A346" t="str">
            <v>Brake System</v>
          </cell>
        </row>
        <row r="347">
          <cell r="A347" t="str">
            <v>Bucket</v>
          </cell>
        </row>
        <row r="348">
          <cell r="A348" t="str">
            <v>Bucket Cylinder</v>
          </cell>
        </row>
        <row r="349">
          <cell r="A349" t="str">
            <v>Bucket Linkage</v>
          </cell>
        </row>
        <row r="350">
          <cell r="A350" t="str">
            <v>Cab</v>
          </cell>
        </row>
        <row r="351">
          <cell r="A351" t="str">
            <v>Cab &amp; Seat</v>
          </cell>
        </row>
        <row r="352">
          <cell r="A352" t="str">
            <v>Centershift Cylinder</v>
          </cell>
        </row>
        <row r="353">
          <cell r="A353" t="str">
            <v>Centershift Lock</v>
          </cell>
        </row>
        <row r="354">
          <cell r="A354" t="str">
            <v>Circle</v>
          </cell>
        </row>
        <row r="355">
          <cell r="A355" t="str">
            <v>Circle Drive</v>
          </cell>
        </row>
        <row r="356">
          <cell r="A356" t="str">
            <v>Circle Drive Motor</v>
          </cell>
        </row>
        <row r="357">
          <cell r="A357" t="str">
            <v>Conditioner</v>
          </cell>
        </row>
        <row r="358">
          <cell r="A358" t="str">
            <v>Conditioner</v>
          </cell>
        </row>
        <row r="359">
          <cell r="A359" t="str">
            <v>Cooling Lines</v>
          </cell>
        </row>
        <row r="360">
          <cell r="A360" t="str">
            <v>Cooling System</v>
          </cell>
        </row>
        <row r="361">
          <cell r="A361" t="str">
            <v>Cooling System &amp; Hydraulic Lines</v>
          </cell>
        </row>
        <row r="362">
          <cell r="A362" t="str">
            <v>Countershaft Transmission</v>
          </cell>
        </row>
        <row r="363">
          <cell r="A363" t="str">
            <v>Cylinder Head</v>
          </cell>
        </row>
        <row r="364">
          <cell r="A364" t="str">
            <v>Ddt Hydraulic Control Vlv</v>
          </cell>
        </row>
        <row r="365">
          <cell r="A365" t="str">
            <v>Diff, Bevel Gear &amp; Pinion</v>
          </cell>
        </row>
        <row r="366">
          <cell r="A366" t="str">
            <v>Differential</v>
          </cell>
        </row>
        <row r="367">
          <cell r="A367" t="str">
            <v>Differential - Rear</v>
          </cell>
        </row>
        <row r="368">
          <cell r="A368" t="str">
            <v>Differential Drive &amp; Brake</v>
          </cell>
        </row>
        <row r="369">
          <cell r="A369" t="str">
            <v>Differential Lock</v>
          </cell>
        </row>
        <row r="370">
          <cell r="A370" t="str">
            <v>Differential/Bevel Gear Gp</v>
          </cell>
        </row>
        <row r="371">
          <cell r="A371" t="str">
            <v>Drawbar</v>
          </cell>
        </row>
        <row r="372">
          <cell r="A372" t="str">
            <v>Drive Axle - Rear</v>
          </cell>
        </row>
        <row r="373">
          <cell r="A373" t="str">
            <v>Drive Chain Single / Tandem</v>
          </cell>
        </row>
        <row r="374">
          <cell r="A374" t="str">
            <v>Drive Line/Drive Axle</v>
          </cell>
        </row>
        <row r="375">
          <cell r="A375" t="str">
            <v>Drive Shaft</v>
          </cell>
        </row>
        <row r="376">
          <cell r="A376" t="str">
            <v>Drive Shaft (Center)</v>
          </cell>
        </row>
        <row r="377">
          <cell r="A377" t="str">
            <v>Drive Shaft (Front)</v>
          </cell>
        </row>
        <row r="378">
          <cell r="A378" t="str">
            <v>Drive Shaft (Middle)</v>
          </cell>
        </row>
        <row r="379">
          <cell r="A379" t="str">
            <v>Drive Shaft (Rear)</v>
          </cell>
        </row>
        <row r="380">
          <cell r="A380" t="str">
            <v>Drive Shaft T/C Transmission</v>
          </cell>
        </row>
        <row r="381">
          <cell r="A381" t="str">
            <v>Dust Ejector</v>
          </cell>
        </row>
        <row r="382">
          <cell r="A382" t="str">
            <v>Engine</v>
          </cell>
        </row>
        <row r="383">
          <cell r="A383" t="str">
            <v>Exhaust Scrubber</v>
          </cell>
        </row>
        <row r="384">
          <cell r="A384" t="str">
            <v>Fan Drive</v>
          </cell>
        </row>
        <row r="385">
          <cell r="A385" t="str">
            <v>Feed Cylinder</v>
          </cell>
        </row>
        <row r="386">
          <cell r="A386" t="str">
            <v>Feed Drive</v>
          </cell>
        </row>
        <row r="387">
          <cell r="A387" t="str">
            <v>Final Drive</v>
          </cell>
        </row>
        <row r="388">
          <cell r="A388" t="str">
            <v>Final Drive - Left</v>
          </cell>
        </row>
        <row r="389">
          <cell r="A389" t="str">
            <v>Final Drive - Right</v>
          </cell>
        </row>
        <row r="390">
          <cell r="A390" t="str">
            <v>Final Drive &amp; Brake Wheel</v>
          </cell>
        </row>
        <row r="391">
          <cell r="A391" t="str">
            <v>Final Drive/Wheel/Brake (Center)</v>
          </cell>
        </row>
        <row r="392">
          <cell r="A392" t="str">
            <v>Final Drive/Wheel/Brake (Front)</v>
          </cell>
        </row>
        <row r="393">
          <cell r="A393" t="str">
            <v>Final Drive/Wheel/Brake (Rear)</v>
          </cell>
        </row>
        <row r="394">
          <cell r="A394" t="str">
            <v>Fire Suppression</v>
          </cell>
        </row>
        <row r="395">
          <cell r="A395" t="str">
            <v>Frame</v>
          </cell>
        </row>
        <row r="396">
          <cell r="A396" t="str">
            <v>Front Axle</v>
          </cell>
        </row>
        <row r="397">
          <cell r="A397" t="str">
            <v>Front Axle GP</v>
          </cell>
        </row>
        <row r="398">
          <cell r="A398" t="str">
            <v>Front Brake Left</v>
          </cell>
        </row>
        <row r="399">
          <cell r="A399" t="str">
            <v>Front Brake Right</v>
          </cell>
        </row>
        <row r="400">
          <cell r="A400" t="str">
            <v>Front Differential &amp; Axle Gp</v>
          </cell>
        </row>
        <row r="401">
          <cell r="A401" t="str">
            <v>Front Hub / Brakes</v>
          </cell>
        </row>
        <row r="402">
          <cell r="A402" t="str">
            <v>Front Suspension</v>
          </cell>
        </row>
        <row r="403">
          <cell r="A403" t="str">
            <v>Front Suspension Cyl Left</v>
          </cell>
        </row>
        <row r="404">
          <cell r="A404" t="str">
            <v>Front Suspension Cyl Right</v>
          </cell>
        </row>
        <row r="405">
          <cell r="A405" t="str">
            <v>Rear Suspension Cyl Left</v>
          </cell>
        </row>
        <row r="406">
          <cell r="A406" t="str">
            <v>Rear Suspension Cyl Right</v>
          </cell>
        </row>
        <row r="407">
          <cell r="A407" t="str">
            <v>Fuel</v>
          </cell>
        </row>
        <row r="408">
          <cell r="A408" t="str">
            <v>Fuel / Hydraulic Pump</v>
          </cell>
        </row>
        <row r="409">
          <cell r="A409" t="str">
            <v>Fuel Injection Pump</v>
          </cell>
        </row>
        <row r="410">
          <cell r="A410" t="str">
            <v>Fuel Priming Pump</v>
          </cell>
        </row>
        <row r="411">
          <cell r="A411" t="str">
            <v>Fuel Transfer Pump</v>
          </cell>
        </row>
        <row r="412">
          <cell r="A412" t="str">
            <v>Fumes Disposal</v>
          </cell>
        </row>
        <row r="413">
          <cell r="A413" t="str">
            <v>G.E.T</v>
          </cell>
        </row>
        <row r="414">
          <cell r="A414" t="str">
            <v>Hitch</v>
          </cell>
        </row>
        <row r="415">
          <cell r="A415" t="str">
            <v>Hydraulic  Fan Motor</v>
          </cell>
        </row>
        <row r="416">
          <cell r="A416" t="str">
            <v>Hydraulic  Fan Pump</v>
          </cell>
        </row>
        <row r="417">
          <cell r="A417" t="str">
            <v>Hydraulic Control</v>
          </cell>
        </row>
        <row r="418">
          <cell r="A418" t="str">
            <v>Hydraulic Control</v>
          </cell>
        </row>
        <row r="419">
          <cell r="A419" t="str">
            <v>Hydraulic Hoses &amp; Lines</v>
          </cell>
        </row>
        <row r="420">
          <cell r="A420" t="str">
            <v>Hydraulic Motor</v>
          </cell>
        </row>
        <row r="421">
          <cell r="A421" t="str">
            <v>Hydraulic Pump</v>
          </cell>
        </row>
        <row r="422">
          <cell r="A422" t="str">
            <v>Hydraulic System</v>
          </cell>
        </row>
        <row r="423">
          <cell r="A423" t="str">
            <v>Hydraulic System Pump Gp</v>
          </cell>
        </row>
        <row r="424">
          <cell r="A424" t="str">
            <v>Hydraulic Tank</v>
          </cell>
        </row>
        <row r="425">
          <cell r="A425" t="str">
            <v>Metering Pump</v>
          </cell>
        </row>
        <row r="426">
          <cell r="A426" t="str">
            <v>Injector</v>
          </cell>
        </row>
        <row r="427">
          <cell r="A427" t="str">
            <v>Intake &amp; Exhaust System</v>
          </cell>
        </row>
        <row r="428">
          <cell r="A428" t="str">
            <v>Jacket Water Pump Main</v>
          </cell>
        </row>
        <row r="429">
          <cell r="A429" t="str">
            <v>Leveling Cylinder</v>
          </cell>
        </row>
        <row r="430">
          <cell r="A430" t="str">
            <v>Lift Arm</v>
          </cell>
        </row>
        <row r="431">
          <cell r="A431" t="str">
            <v>Lift/Hoist Cylinder</v>
          </cell>
        </row>
        <row r="432">
          <cell r="A432" t="str">
            <v>Lift/Hoist Cylinder - Left</v>
          </cell>
        </row>
        <row r="433">
          <cell r="A433" t="str">
            <v>Lift/Hoist Cylinder - Right</v>
          </cell>
        </row>
        <row r="434">
          <cell r="A434" t="str">
            <v>Lincoln Auto Lube</v>
          </cell>
        </row>
        <row r="435">
          <cell r="A435" t="str">
            <v>Loader Linkage</v>
          </cell>
        </row>
        <row r="436">
          <cell r="A436" t="str">
            <v>Lubrication</v>
          </cell>
        </row>
        <row r="437">
          <cell r="A437" t="str">
            <v>Main Drive Line</v>
          </cell>
        </row>
        <row r="438">
          <cell r="A438" t="str">
            <v>Major Electrical</v>
          </cell>
        </row>
        <row r="439">
          <cell r="A439" t="str">
            <v>Management</v>
          </cell>
        </row>
        <row r="440">
          <cell r="A440" t="str">
            <v>Mast Cylinder</v>
          </cell>
        </row>
        <row r="441">
          <cell r="A441" t="str">
            <v>Motor Differential Steering</v>
          </cell>
        </row>
        <row r="442">
          <cell r="A442" t="str">
            <v>Muffler</v>
          </cell>
        </row>
        <row r="443">
          <cell r="A443" t="str">
            <v>Oil Cooler</v>
          </cell>
        </row>
        <row r="444">
          <cell r="A444" t="str">
            <v>Oscillating Hitch</v>
          </cell>
        </row>
        <row r="445">
          <cell r="A445" t="str">
            <v>Parking Brake</v>
          </cell>
        </row>
        <row r="446">
          <cell r="A446" t="str">
            <v>Parking Brake Control</v>
          </cell>
        </row>
        <row r="447">
          <cell r="A447" t="str">
            <v>Pilot Pump</v>
          </cell>
        </row>
        <row r="448">
          <cell r="A448" t="str">
            <v>Piston Pump</v>
          </cell>
        </row>
        <row r="449">
          <cell r="A449" t="str">
            <v>Planetary &amp; Brake</v>
          </cell>
        </row>
        <row r="450">
          <cell r="A450" t="str">
            <v>Power Train Oil Lines</v>
          </cell>
        </row>
        <row r="451">
          <cell r="A451" t="str">
            <v>Power Train Oil Pump</v>
          </cell>
        </row>
        <row r="452">
          <cell r="A452" t="str">
            <v>Powershift Trans Park Bk</v>
          </cell>
        </row>
        <row r="453">
          <cell r="A453" t="str">
            <v>Pump Drive Gp</v>
          </cell>
        </row>
        <row r="454">
          <cell r="A454" t="str">
            <v>Radiator Gp</v>
          </cell>
        </row>
        <row r="455">
          <cell r="A455" t="str">
            <v>Rear Axle</v>
          </cell>
        </row>
        <row r="456">
          <cell r="A456" t="str">
            <v>Rear Axle Gp</v>
          </cell>
        </row>
        <row r="457">
          <cell r="A457" t="str">
            <v>Rear Axle Housing</v>
          </cell>
        </row>
        <row r="458">
          <cell r="A458" t="str">
            <v>Rear Brake Left</v>
          </cell>
        </row>
        <row r="459">
          <cell r="A459" t="str">
            <v>Rear Brake Rigth</v>
          </cell>
        </row>
        <row r="460">
          <cell r="A460" t="str">
            <v>Rear Suspension</v>
          </cell>
        </row>
        <row r="461">
          <cell r="A461" t="str">
            <v>Rear Suspension Cylinder - Left</v>
          </cell>
        </row>
        <row r="462">
          <cell r="A462" t="str">
            <v>Rear Suspension Cylinder - Right</v>
          </cell>
        </row>
        <row r="463">
          <cell r="A463" t="str">
            <v>Rear Wheel Gp</v>
          </cell>
        </row>
        <row r="464">
          <cell r="A464" t="str">
            <v>Refrigerant Compressor</v>
          </cell>
        </row>
        <row r="465">
          <cell r="A465" t="str">
            <v>Regulator Housing</v>
          </cell>
        </row>
        <row r="466">
          <cell r="A466" t="str">
            <v>Rims</v>
          </cell>
        </row>
        <row r="467">
          <cell r="A467" t="str">
            <v>Ripper Frame</v>
          </cell>
        </row>
        <row r="468">
          <cell r="A468" t="str">
            <v>Ripper Lift Cylinder</v>
          </cell>
        </row>
        <row r="469">
          <cell r="A469" t="str">
            <v>Ripper Mount</v>
          </cell>
        </row>
        <row r="470">
          <cell r="A470" t="str">
            <v>Ripper Mount</v>
          </cell>
        </row>
        <row r="471">
          <cell r="A471" t="str">
            <v>Ripper Pin Puller Cylinder</v>
          </cell>
        </row>
        <row r="472">
          <cell r="A472" t="str">
            <v>Ripper Tilt Cylinder</v>
          </cell>
        </row>
        <row r="473">
          <cell r="A473" t="str">
            <v>Rotary Head Motor</v>
          </cell>
        </row>
        <row r="474">
          <cell r="A474" t="str">
            <v>Seat</v>
          </cell>
        </row>
        <row r="475">
          <cell r="A475" t="str">
            <v>Shut Offs</v>
          </cell>
        </row>
        <row r="476">
          <cell r="A476" t="str">
            <v>Sideshfit Cylinder</v>
          </cell>
        </row>
        <row r="477">
          <cell r="A477" t="str">
            <v>Sideshift Cylinder</v>
          </cell>
        </row>
        <row r="478">
          <cell r="A478" t="str">
            <v>Srp Travel &amp; Accomodation</v>
          </cell>
        </row>
        <row r="479">
          <cell r="A479" t="str">
            <v>Standard Mast</v>
          </cell>
        </row>
        <row r="480">
          <cell r="A480" t="str">
            <v>Starter &amp; Batteries</v>
          </cell>
        </row>
        <row r="481">
          <cell r="A481" t="str">
            <v>Starter Motor</v>
          </cell>
        </row>
        <row r="482">
          <cell r="A482" t="str">
            <v>Steering Accumulator</v>
          </cell>
        </row>
        <row r="483">
          <cell r="A483" t="str">
            <v>Steering Accumulator - Front</v>
          </cell>
        </row>
        <row r="484">
          <cell r="A484" t="str">
            <v>Steering Accumulator - Rear</v>
          </cell>
        </row>
        <row r="485">
          <cell r="A485" t="str">
            <v>Steering Axle &amp; Wheel Bearing</v>
          </cell>
        </row>
        <row r="486">
          <cell r="A486" t="str">
            <v>Steering Clutch And Brake</v>
          </cell>
        </row>
        <row r="487">
          <cell r="A487" t="str">
            <v>Steering Control Unit</v>
          </cell>
        </row>
        <row r="488">
          <cell r="A488" t="str">
            <v>Steering Cylinder</v>
          </cell>
        </row>
        <row r="489">
          <cell r="A489" t="str">
            <v>Steering Cylinder - Front</v>
          </cell>
        </row>
        <row r="490">
          <cell r="A490" t="str">
            <v>Steering Cylinder - Rear</v>
          </cell>
        </row>
        <row r="491">
          <cell r="A491" t="str">
            <v>Steering Linkage</v>
          </cell>
        </row>
        <row r="492">
          <cell r="A492" t="str">
            <v>Steering Pump Gp</v>
          </cell>
        </row>
        <row r="493">
          <cell r="A493" t="str">
            <v>Steering System</v>
          </cell>
        </row>
        <row r="494">
          <cell r="A494" t="str">
            <v>Steering Valve</v>
          </cell>
        </row>
        <row r="495">
          <cell r="A495" t="str">
            <v>Stick</v>
          </cell>
        </row>
        <row r="496">
          <cell r="A496" t="str">
            <v>Stick Cylinder</v>
          </cell>
        </row>
        <row r="497">
          <cell r="A497" t="str">
            <v>Supplemental Steering Pump</v>
          </cell>
        </row>
        <row r="498">
          <cell r="A498" t="str">
            <v>Suspension Cylinder - Left Front</v>
          </cell>
        </row>
        <row r="499">
          <cell r="A499" t="str">
            <v>Suspension Cylinder - Right Front</v>
          </cell>
        </row>
        <row r="500">
          <cell r="A500" t="str">
            <v>Suspension Cylinder (Front)</v>
          </cell>
        </row>
        <row r="501">
          <cell r="A501" t="str">
            <v>Suspension Cylinder (Rear)</v>
          </cell>
        </row>
        <row r="502">
          <cell r="A502" t="str">
            <v>Swing Drive</v>
          </cell>
        </row>
        <row r="503">
          <cell r="A503" t="str">
            <v>Swing Gear &amp; Bearing</v>
          </cell>
        </row>
        <row r="504">
          <cell r="A504" t="str">
            <v>Swing Motor</v>
          </cell>
        </row>
        <row r="505">
          <cell r="A505" t="str">
            <v>Swing Pump</v>
          </cell>
        </row>
        <row r="506">
          <cell r="A506" t="str">
            <v>Swivel</v>
          </cell>
        </row>
        <row r="507">
          <cell r="A507" t="str">
            <v>Swivel Joint</v>
          </cell>
        </row>
        <row r="508">
          <cell r="A508" t="str">
            <v>Tandem Drive - Left</v>
          </cell>
        </row>
        <row r="509">
          <cell r="A509" t="str">
            <v>Tandem Drive - Right</v>
          </cell>
        </row>
        <row r="510">
          <cell r="A510" t="str">
            <v>Tandems</v>
          </cell>
        </row>
        <row r="511">
          <cell r="A511" t="str">
            <v>Tail Cylinder</v>
          </cell>
        </row>
        <row r="512">
          <cell r="A512" t="str">
            <v>Tilt Cylinder - Left</v>
          </cell>
        </row>
        <row r="513">
          <cell r="A513" t="str">
            <v>Tilt Cylinder - Right</v>
          </cell>
        </row>
        <row r="514">
          <cell r="A514" t="str">
            <v>Tip Cylinder</v>
          </cell>
        </row>
        <row r="515">
          <cell r="A515" t="str">
            <v>Tires</v>
          </cell>
        </row>
        <row r="516">
          <cell r="A516" t="str">
            <v>Torque Converter</v>
          </cell>
        </row>
        <row r="517">
          <cell r="A517" t="str">
            <v>Torque Converter &amp; Divider</v>
          </cell>
        </row>
        <row r="518">
          <cell r="A518" t="str">
            <v>Torque Converter &amp; Retarder</v>
          </cell>
        </row>
        <row r="519">
          <cell r="A519" t="str">
            <v>Torque Converter &amp; Transmission</v>
          </cell>
        </row>
        <row r="520">
          <cell r="A520" t="str">
            <v>Torque Converter Pump</v>
          </cell>
        </row>
        <row r="521">
          <cell r="A521" t="str">
            <v>Torque Divider</v>
          </cell>
        </row>
        <row r="522">
          <cell r="A522" t="str">
            <v>Torsion Coupling</v>
          </cell>
        </row>
        <row r="523">
          <cell r="A523" t="str">
            <v>Track Motor</v>
          </cell>
        </row>
        <row r="524">
          <cell r="A524" t="str">
            <v>Trans./Transfer Gear/T.Converter</v>
          </cell>
        </row>
        <row r="525">
          <cell r="A525" t="str">
            <v>Transfer Case</v>
          </cell>
        </row>
        <row r="526">
          <cell r="A526" t="str">
            <v>Transfer Gear</v>
          </cell>
        </row>
        <row r="527">
          <cell r="A527" t="str">
            <v>Transmission</v>
          </cell>
        </row>
        <row r="528">
          <cell r="A528" t="str">
            <v>Transmission &amp; Transfer Gear</v>
          </cell>
        </row>
        <row r="529">
          <cell r="A529" t="str">
            <v>Transmission Bevel &amp; Transfer Gear</v>
          </cell>
        </row>
        <row r="530">
          <cell r="A530" t="str">
            <v>Transmission Control</v>
          </cell>
        </row>
        <row r="531">
          <cell r="A531" t="str">
            <v>Transmission Control Lock</v>
          </cell>
        </row>
        <row r="532">
          <cell r="A532" t="str">
            <v>Transmission Lines</v>
          </cell>
        </row>
        <row r="533">
          <cell r="A533" t="str">
            <v>Transmission Neutral Gp</v>
          </cell>
        </row>
        <row r="534">
          <cell r="A534" t="str">
            <v>Transmission Parking Brake</v>
          </cell>
        </row>
        <row r="535">
          <cell r="A535" t="str">
            <v>Transmission Pump Gp</v>
          </cell>
        </row>
        <row r="536">
          <cell r="A536" t="str">
            <v>Turbocharger - Left</v>
          </cell>
        </row>
        <row r="537">
          <cell r="A537" t="str">
            <v>Turbocharger - Right</v>
          </cell>
        </row>
        <row r="538">
          <cell r="A538" t="str">
            <v>Turbochargers</v>
          </cell>
        </row>
        <row r="539">
          <cell r="A539" t="str">
            <v>Universal Joint</v>
          </cell>
        </row>
        <row r="540">
          <cell r="A540" t="str">
            <v>Unscheduled - Drive Train</v>
          </cell>
        </row>
        <row r="541">
          <cell r="A541" t="str">
            <v>Unscheduled - Engine</v>
          </cell>
        </row>
        <row r="542">
          <cell r="A542" t="str">
            <v>Unscheduled - Other</v>
          </cell>
        </row>
        <row r="543">
          <cell r="A543" t="str">
            <v>Unscheduled - Power Train</v>
          </cell>
        </row>
        <row r="544">
          <cell r="A544" t="str">
            <v>Vee Belt(s)</v>
          </cell>
        </row>
        <row r="545">
          <cell r="A545" t="str">
            <v>Vehicle Drive Shaft</v>
          </cell>
        </row>
        <row r="546">
          <cell r="A546" t="str">
            <v>Warranty</v>
          </cell>
        </row>
        <row r="547">
          <cell r="A547" t="str">
            <v>Warranty - Other</v>
          </cell>
        </row>
        <row r="548">
          <cell r="A548" t="str">
            <v>Water Pump - Aftercool</v>
          </cell>
        </row>
        <row r="549">
          <cell r="A549" t="str">
            <v>Water Pump - Main</v>
          </cell>
        </row>
        <row r="550">
          <cell r="A550" t="str">
            <v>Water Regulator</v>
          </cell>
        </row>
        <row r="551">
          <cell r="A551" t="str">
            <v>Wheel &amp; Brake Assembly - Left Front</v>
          </cell>
        </row>
        <row r="552">
          <cell r="A552" t="str">
            <v>Wheel &amp; Brake Assembly - Left Rear</v>
          </cell>
        </row>
        <row r="553">
          <cell r="A553" t="str">
            <v>Wheel &amp; Brake Assembly - Right Front</v>
          </cell>
        </row>
        <row r="554">
          <cell r="A554" t="str">
            <v>Wheel &amp; Brake Assembly - Right Rear</v>
          </cell>
        </row>
        <row r="555">
          <cell r="A555" t="str">
            <v>Wheel Assembly - Left Rear</v>
          </cell>
        </row>
        <row r="556">
          <cell r="A556" t="str">
            <v>Wheel Bearing (R/H Rear)</v>
          </cell>
        </row>
        <row r="557">
          <cell r="A557" t="str">
            <v>Wheel Brake Assembly - Left Front</v>
          </cell>
        </row>
        <row r="558">
          <cell r="A558" t="str">
            <v>Wheel Brake Assembly - Left Rear</v>
          </cell>
        </row>
        <row r="559">
          <cell r="A559" t="str">
            <v>Wheel Brake Assembly - Right Front</v>
          </cell>
        </row>
        <row r="560">
          <cell r="A560" t="str">
            <v>Wheel Brake Assembly - Right Rear</v>
          </cell>
        </row>
        <row r="561">
          <cell r="A561" t="str">
            <v>Wheel Lean Cylinder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3">
          <cell r="A293" t="str">
            <v>10 Svc Hour Maintenance</v>
          </cell>
        </row>
      </sheetData>
      <sheetData sheetId="13">
        <row r="293">
          <cell r="A293" t="str">
            <v>10 Svc Hour Maintenance</v>
          </cell>
        </row>
      </sheetData>
      <sheetData sheetId="14"/>
      <sheetData sheetId="15">
        <row r="293">
          <cell r="A293" t="str">
            <v>10 Svc Hour Maintenance</v>
          </cell>
        </row>
      </sheetData>
      <sheetData sheetId="16">
        <row r="293">
          <cell r="A293" t="str">
            <v>10 Svc Hour Maintenance</v>
          </cell>
        </row>
      </sheetData>
      <sheetData sheetId="17">
        <row r="293">
          <cell r="A293" t="str">
            <v>10 Svc Hour Maintenance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93">
          <cell r="A293" t="str">
            <v>10 Svc Hour Maintenance</v>
          </cell>
        </row>
      </sheetData>
      <sheetData sheetId="29">
        <row r="293">
          <cell r="A293" t="str">
            <v>10 Svc Hour Maintenance</v>
          </cell>
        </row>
      </sheetData>
      <sheetData sheetId="30">
        <row r="293">
          <cell r="A293" t="str">
            <v>10 Svc Hour Maintenance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93">
          <cell r="A293" t="str">
            <v>10 Svc Hour Maintenance</v>
          </cell>
        </row>
      </sheetData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>
        <row r="293">
          <cell r="A293" t="str">
            <v>10 Svc Hour Maintenance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293">
          <cell r="A293" t="str">
            <v>10 Svc Hour Maintenance</v>
          </cell>
        </row>
      </sheetData>
      <sheetData sheetId="59">
        <row r="293">
          <cell r="A293" t="str">
            <v>10 Svc Hour Maintenance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>
        <row r="293">
          <cell r="A293" t="str">
            <v>10 Svc Hour Maintenance</v>
          </cell>
        </row>
      </sheetData>
      <sheetData sheetId="108">
        <row r="293">
          <cell r="A293" t="str">
            <v>10 Svc Hour Maintenance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293">
          <cell r="A293" t="str">
            <v>10 Svc Hour Maintenance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>
        <row r="293">
          <cell r="A293" t="str">
            <v>10 Svc Hour Maintenance</v>
          </cell>
        </row>
      </sheetData>
      <sheetData sheetId="137">
        <row r="293">
          <cell r="A293" t="str">
            <v>10 Svc Hour Maintenance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 Day"/>
      <sheetName val="22 Night"/>
      <sheetName val="23 Day"/>
      <sheetName val="23 Night"/>
      <sheetName val="24 Day"/>
      <sheetName val="24 Night"/>
      <sheetName val="25 Day"/>
      <sheetName val="25 Night"/>
      <sheetName val="26 Day"/>
      <sheetName val="26 Night"/>
      <sheetName val="27 Day"/>
      <sheetName val="27 Night"/>
      <sheetName val="28 Day"/>
      <sheetName val="28 Night"/>
      <sheetName val="SMU Unit"/>
      <sheetName val="CHART"/>
      <sheetName val="22_Day"/>
      <sheetName val="22_Night"/>
      <sheetName val="23_Day"/>
      <sheetName val="23_Night"/>
      <sheetName val="24_Day"/>
      <sheetName val="24_Night"/>
      <sheetName val="25_Day"/>
      <sheetName val="25_Night"/>
      <sheetName val="26_Day"/>
      <sheetName val="26_Night"/>
      <sheetName val="27_Day"/>
      <sheetName val="27_Night"/>
      <sheetName val="28_Day"/>
      <sheetName val="28_Night"/>
      <sheetName val="SMU_Unit"/>
      <sheetName val="22_Day1"/>
      <sheetName val="22_Night1"/>
      <sheetName val="23_Day1"/>
      <sheetName val="23_Night1"/>
      <sheetName val="24_Day1"/>
      <sheetName val="24_Night1"/>
      <sheetName val="25_Day1"/>
      <sheetName val="25_Night1"/>
      <sheetName val="26_Day1"/>
      <sheetName val="26_Night1"/>
      <sheetName val="27_Day1"/>
      <sheetName val="27_Night1"/>
      <sheetName val="28_Day1"/>
      <sheetName val="28_Night1"/>
      <sheetName val="SMU_Unit1"/>
    </sheetNames>
    <sheetDataSet>
      <sheetData sheetId="0" refreshError="1"/>
      <sheetData sheetId="1" refreshError="1"/>
      <sheetData sheetId="2" refreshError="1">
        <row r="11">
          <cell r="C11" t="str">
            <v>EX3044</v>
          </cell>
          <cell r="D11" t="str">
            <v>Hitachi 3600</v>
          </cell>
          <cell r="E11">
            <v>9801</v>
          </cell>
          <cell r="F11">
            <v>9801.1</v>
          </cell>
          <cell r="G11">
            <v>9810.2999999999993</v>
          </cell>
          <cell r="H11">
            <v>0.1000000000003638</v>
          </cell>
          <cell r="I11">
            <v>9.1999999999989086</v>
          </cell>
          <cell r="J11">
            <v>8.7399999999989628</v>
          </cell>
        </row>
        <row r="12">
          <cell r="D12" t="str">
            <v/>
          </cell>
          <cell r="E12" t="str">
            <v/>
          </cell>
        </row>
        <row r="13">
          <cell r="C13" t="str">
            <v>RD7876</v>
          </cell>
          <cell r="D13" t="str">
            <v>Cat 785</v>
          </cell>
          <cell r="E13">
            <v>28352.6</v>
          </cell>
          <cell r="F13">
            <v>28352.6</v>
          </cell>
          <cell r="G13">
            <v>28361.4</v>
          </cell>
          <cell r="H13">
            <v>0</v>
          </cell>
          <cell r="I13">
            <v>8.8000000000029104</v>
          </cell>
          <cell r="J13">
            <v>8.3600000000027652</v>
          </cell>
        </row>
        <row r="14">
          <cell r="C14" t="str">
            <v>RD7874</v>
          </cell>
          <cell r="D14" t="str">
            <v>Cat 785</v>
          </cell>
          <cell r="E14">
            <v>27476.5</v>
          </cell>
          <cell r="F14">
            <v>27476.6</v>
          </cell>
          <cell r="G14">
            <v>27485.599999999999</v>
          </cell>
          <cell r="H14">
            <v>9.9999999998544808E-2</v>
          </cell>
          <cell r="I14">
            <v>9</v>
          </cell>
          <cell r="J14">
            <v>8.5499999999999989</v>
          </cell>
        </row>
        <row r="15">
          <cell r="C15" t="str">
            <v>RD3245</v>
          </cell>
          <cell r="D15" t="str">
            <v>Cat 785</v>
          </cell>
          <cell r="E15">
            <v>25.5</v>
          </cell>
          <cell r="F15">
            <v>25.5</v>
          </cell>
          <cell r="G15">
            <v>34.299999999999997</v>
          </cell>
          <cell r="H15">
            <v>0</v>
          </cell>
          <cell r="I15">
            <v>8.7999999999999972</v>
          </cell>
          <cell r="J15">
            <v>8.3599999999999977</v>
          </cell>
        </row>
        <row r="16">
          <cell r="C16" t="str">
            <v>RD7870</v>
          </cell>
          <cell r="D16" t="str">
            <v>Cat 785</v>
          </cell>
          <cell r="E16">
            <v>27596.9</v>
          </cell>
          <cell r="F16">
            <v>27596.9</v>
          </cell>
          <cell r="G16">
            <v>27606</v>
          </cell>
          <cell r="H16">
            <v>0</v>
          </cell>
          <cell r="I16">
            <v>9.0999999999985448</v>
          </cell>
          <cell r="J16">
            <v>8.6449999999986176</v>
          </cell>
        </row>
        <row r="17">
          <cell r="D17" t="str">
            <v/>
          </cell>
          <cell r="E17" t="str">
            <v/>
          </cell>
          <cell r="H17" t="e">
            <v>#VALUE!</v>
          </cell>
          <cell r="I17">
            <v>0</v>
          </cell>
          <cell r="J17">
            <v>0</v>
          </cell>
        </row>
        <row r="18">
          <cell r="D18" t="str">
            <v/>
          </cell>
          <cell r="E18" t="str">
            <v/>
          </cell>
          <cell r="H18" t="e">
            <v>#VALUE!</v>
          </cell>
          <cell r="I18">
            <v>0</v>
          </cell>
          <cell r="J18">
            <v>0</v>
          </cell>
        </row>
        <row r="19">
          <cell r="D19" t="str">
            <v/>
          </cell>
          <cell r="E19" t="str">
            <v/>
          </cell>
        </row>
        <row r="20">
          <cell r="I20">
            <v>30.5</v>
          </cell>
        </row>
        <row r="22">
          <cell r="F22" t="str">
            <v>Exc</v>
          </cell>
          <cell r="H22" t="str">
            <v>Haul</v>
          </cell>
          <cell r="J22" t="str">
            <v>CAT</v>
          </cell>
        </row>
        <row r="23">
          <cell r="J23" t="str">
            <v>777 Coal Body</v>
          </cell>
        </row>
        <row r="24">
          <cell r="F24" t="str">
            <v>EX3044</v>
          </cell>
          <cell r="H24">
            <v>1000</v>
          </cell>
        </row>
        <row r="48">
          <cell r="F48" t="str">
            <v>WORKGROUP</v>
          </cell>
        </row>
        <row r="49">
          <cell r="F49" t="str">
            <v>COST CODE</v>
          </cell>
        </row>
        <row r="50">
          <cell r="C50" t="str">
            <v>EQUIPMENT</v>
          </cell>
          <cell r="E50" t="str">
            <v>SMU</v>
          </cell>
        </row>
        <row r="51">
          <cell r="C51" t="str">
            <v>NUMBER</v>
          </cell>
          <cell r="D51" t="str">
            <v>TYPE</v>
          </cell>
          <cell r="E51" t="str">
            <v>SBLM</v>
          </cell>
          <cell r="F51" t="str">
            <v>AWAL</v>
          </cell>
          <cell r="G51" t="str">
            <v>AKHIR</v>
          </cell>
          <cell r="H51" t="str">
            <v>diff</v>
          </cell>
          <cell r="I51" t="str">
            <v>TOTAL</v>
          </cell>
          <cell r="J51" t="str">
            <v>AKTUAL</v>
          </cell>
        </row>
        <row r="52">
          <cell r="C52" t="str">
            <v>EX3007</v>
          </cell>
          <cell r="D52" t="str">
            <v>Hitachi 2500</v>
          </cell>
          <cell r="E52">
            <v>24369.9</v>
          </cell>
          <cell r="F52">
            <v>24370</v>
          </cell>
          <cell r="G52">
            <v>24379.200000000001</v>
          </cell>
          <cell r="H52">
            <v>9.9999999998544808E-2</v>
          </cell>
          <cell r="I52">
            <v>9.2000000000007276</v>
          </cell>
          <cell r="J52">
            <v>8.7400000000006912</v>
          </cell>
        </row>
        <row r="53">
          <cell r="D53" t="str">
            <v/>
          </cell>
          <cell r="E53" t="str">
            <v/>
          </cell>
        </row>
        <row r="54">
          <cell r="C54" t="str">
            <v>RD3246</v>
          </cell>
          <cell r="D54" t="str">
            <v>Cat 785</v>
          </cell>
          <cell r="E54">
            <v>21</v>
          </cell>
          <cell r="F54">
            <v>22.4</v>
          </cell>
          <cell r="G54">
            <v>27.7</v>
          </cell>
          <cell r="H54">
            <v>1.3999999999999986</v>
          </cell>
          <cell r="I54">
            <v>5.3000000000000007</v>
          </cell>
          <cell r="J54">
            <v>5.0350000000000001</v>
          </cell>
        </row>
        <row r="55">
          <cell r="C55" t="str">
            <v>RD7877</v>
          </cell>
          <cell r="D55" t="str">
            <v>Cat 785</v>
          </cell>
          <cell r="E55">
            <v>27726.6</v>
          </cell>
          <cell r="F55">
            <v>27726.6</v>
          </cell>
          <cell r="G55">
            <v>27735.8</v>
          </cell>
          <cell r="H55">
            <v>0</v>
          </cell>
          <cell r="I55">
            <v>9.2000000000007276</v>
          </cell>
          <cell r="J55">
            <v>8.7400000000006912</v>
          </cell>
        </row>
        <row r="56">
          <cell r="C56" t="str">
            <v>RD7509</v>
          </cell>
          <cell r="D56" t="str">
            <v>Cat 785</v>
          </cell>
          <cell r="E56">
            <v>43092.800000000003</v>
          </cell>
          <cell r="F56">
            <v>43092.2</v>
          </cell>
          <cell r="G56">
            <v>43097.7</v>
          </cell>
          <cell r="H56">
            <v>-0.60000000000582077</v>
          </cell>
          <cell r="I56">
            <v>5.5</v>
          </cell>
          <cell r="J56">
            <v>5.2249999999999996</v>
          </cell>
        </row>
        <row r="57">
          <cell r="D57" t="str">
            <v/>
          </cell>
          <cell r="E57" t="str">
            <v/>
          </cell>
          <cell r="H57" t="e">
            <v>#VALUE!</v>
          </cell>
          <cell r="I57">
            <v>0</v>
          </cell>
          <cell r="J57">
            <v>0</v>
          </cell>
        </row>
        <row r="58">
          <cell r="D58" t="str">
            <v/>
          </cell>
          <cell r="E58" t="str">
            <v/>
          </cell>
          <cell r="H58" t="e">
            <v>#VALUE!</v>
          </cell>
          <cell r="I58">
            <v>0</v>
          </cell>
          <cell r="J58">
            <v>0</v>
          </cell>
        </row>
        <row r="59">
          <cell r="D59" t="str">
            <v/>
          </cell>
          <cell r="E59" t="str">
            <v/>
          </cell>
        </row>
        <row r="62">
          <cell r="F62" t="str">
            <v>Exc</v>
          </cell>
          <cell r="H62" t="str">
            <v>Haul</v>
          </cell>
          <cell r="J62" t="str">
            <v>CAT</v>
          </cell>
        </row>
        <row r="63">
          <cell r="J63" t="str">
            <v>777 Coal Body</v>
          </cell>
        </row>
        <row r="64">
          <cell r="F64" t="str">
            <v>EX3007</v>
          </cell>
          <cell r="H64">
            <v>800</v>
          </cell>
        </row>
        <row r="66">
          <cell r="F66" t="str">
            <v>EX3007</v>
          </cell>
          <cell r="H66">
            <v>800</v>
          </cell>
        </row>
        <row r="88">
          <cell r="F88" t="str">
            <v>WORKGROUP</v>
          </cell>
        </row>
        <row r="89">
          <cell r="F89" t="str">
            <v>COST CODE</v>
          </cell>
        </row>
        <row r="90">
          <cell r="C90" t="str">
            <v>EQUIPMENT</v>
          </cell>
          <cell r="E90" t="str">
            <v>SMU</v>
          </cell>
        </row>
        <row r="91">
          <cell r="C91" t="str">
            <v>NUMBER</v>
          </cell>
          <cell r="D91" t="str">
            <v>TYPE</v>
          </cell>
          <cell r="E91" t="str">
            <v>SBLM</v>
          </cell>
          <cell r="F91" t="str">
            <v>AWAL</v>
          </cell>
          <cell r="G91" t="str">
            <v>AKHIR</v>
          </cell>
          <cell r="H91" t="str">
            <v>diff</v>
          </cell>
          <cell r="I91" t="str">
            <v>TOTAL</v>
          </cell>
          <cell r="J91" t="str">
            <v>AKTUAL</v>
          </cell>
        </row>
        <row r="92">
          <cell r="C92" t="str">
            <v>EX7666</v>
          </cell>
          <cell r="D92" t="str">
            <v>994 Exc</v>
          </cell>
          <cell r="E92">
            <v>0</v>
          </cell>
          <cell r="F92">
            <v>0</v>
          </cell>
          <cell r="G92">
            <v>9</v>
          </cell>
          <cell r="H92">
            <v>0</v>
          </cell>
          <cell r="I92">
            <v>9</v>
          </cell>
          <cell r="J92">
            <v>8.5499999999999989</v>
          </cell>
        </row>
        <row r="93">
          <cell r="D93" t="str">
            <v/>
          </cell>
          <cell r="E93" t="str">
            <v/>
          </cell>
        </row>
        <row r="94">
          <cell r="C94" t="str">
            <v>RD3086</v>
          </cell>
          <cell r="D94" t="str">
            <v>Cat 777 D</v>
          </cell>
          <cell r="E94">
            <v>10098.299999999999</v>
          </cell>
          <cell r="F94">
            <v>10098.299999999999</v>
          </cell>
          <cell r="G94">
            <v>10108.1</v>
          </cell>
          <cell r="H94">
            <v>0</v>
          </cell>
          <cell r="I94">
            <v>9.8000000000010914</v>
          </cell>
          <cell r="J94">
            <v>9.3100000000010361</v>
          </cell>
        </row>
        <row r="95">
          <cell r="C95" t="str">
            <v>RD7500</v>
          </cell>
          <cell r="D95" t="str">
            <v>Cat 785</v>
          </cell>
          <cell r="E95">
            <v>36854.6</v>
          </cell>
          <cell r="F95">
            <v>36854.800000000003</v>
          </cell>
          <cell r="G95">
            <v>36863.300000000003</v>
          </cell>
          <cell r="H95">
            <v>0.20000000000436557</v>
          </cell>
          <cell r="I95">
            <v>8.5</v>
          </cell>
          <cell r="J95">
            <v>8.0749999999999993</v>
          </cell>
        </row>
        <row r="96"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 t="e">
            <v>#VALUE!</v>
          </cell>
          <cell r="I96">
            <v>0</v>
          </cell>
          <cell r="J96">
            <v>0</v>
          </cell>
        </row>
        <row r="97">
          <cell r="D97" t="str">
            <v/>
          </cell>
          <cell r="E97" t="str">
            <v/>
          </cell>
          <cell r="F97">
            <v>0</v>
          </cell>
          <cell r="G97">
            <v>0</v>
          </cell>
          <cell r="H97" t="e">
            <v>#VALUE!</v>
          </cell>
          <cell r="I97">
            <v>0</v>
          </cell>
          <cell r="J97">
            <v>0</v>
          </cell>
        </row>
        <row r="98">
          <cell r="D98" t="str">
            <v/>
          </cell>
          <cell r="E98" t="str">
            <v/>
          </cell>
          <cell r="F98">
            <v>0</v>
          </cell>
          <cell r="G98">
            <v>0</v>
          </cell>
          <cell r="H98" t="e">
            <v>#VALUE!</v>
          </cell>
          <cell r="I98">
            <v>0</v>
          </cell>
          <cell r="J98">
            <v>0</v>
          </cell>
        </row>
        <row r="99"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 t="e">
            <v>#VALUE!</v>
          </cell>
          <cell r="I99">
            <v>0</v>
          </cell>
          <cell r="J99">
            <v>0</v>
          </cell>
        </row>
        <row r="100">
          <cell r="D100" t="str">
            <v/>
          </cell>
          <cell r="E100" t="str">
            <v/>
          </cell>
        </row>
        <row r="103">
          <cell r="F103" t="str">
            <v>Exc</v>
          </cell>
          <cell r="H103" t="str">
            <v>Haul</v>
          </cell>
          <cell r="J103" t="str">
            <v>CAT</v>
          </cell>
        </row>
        <row r="104">
          <cell r="J104" t="str">
            <v>777 Coal Body</v>
          </cell>
        </row>
        <row r="105">
          <cell r="F105" t="str">
            <v>EX7666</v>
          </cell>
          <cell r="H105">
            <v>500</v>
          </cell>
        </row>
        <row r="129">
          <cell r="F129" t="str">
            <v>WORKGROUP</v>
          </cell>
        </row>
        <row r="130">
          <cell r="F130" t="str">
            <v>COST CODE</v>
          </cell>
        </row>
        <row r="131">
          <cell r="C131" t="str">
            <v>EQUIPMENT</v>
          </cell>
          <cell r="E131" t="str">
            <v>SMU</v>
          </cell>
        </row>
        <row r="132">
          <cell r="C132" t="str">
            <v>NUMBER</v>
          </cell>
          <cell r="D132" t="str">
            <v>TYPE</v>
          </cell>
          <cell r="E132" t="str">
            <v>SBLM</v>
          </cell>
          <cell r="F132" t="str">
            <v>AWAL</v>
          </cell>
          <cell r="G132" t="str">
            <v>AKHIR</v>
          </cell>
          <cell r="H132" t="str">
            <v>diff</v>
          </cell>
          <cell r="I132" t="str">
            <v>TOTAL</v>
          </cell>
          <cell r="J132" t="str">
            <v>AKTUAL</v>
          </cell>
        </row>
        <row r="133">
          <cell r="C133" t="str">
            <v>EX3052</v>
          </cell>
          <cell r="D133" t="str">
            <v>Hitachi 1200</v>
          </cell>
          <cell r="E133">
            <v>12205.2</v>
          </cell>
          <cell r="F133">
            <v>12205.2</v>
          </cell>
          <cell r="G133">
            <v>12214.4</v>
          </cell>
          <cell r="H133">
            <v>0</v>
          </cell>
          <cell r="I133">
            <v>9.1999999999989086</v>
          </cell>
          <cell r="J133">
            <v>8.7399999999989628</v>
          </cell>
        </row>
        <row r="134">
          <cell r="D134" t="str">
            <v/>
          </cell>
          <cell r="E134" t="str">
            <v/>
          </cell>
          <cell r="F134">
            <v>0</v>
          </cell>
          <cell r="G134">
            <v>0</v>
          </cell>
          <cell r="H134" t="e">
            <v>#VALUE!</v>
          </cell>
          <cell r="I134">
            <v>0</v>
          </cell>
          <cell r="J134">
            <v>0</v>
          </cell>
        </row>
        <row r="135">
          <cell r="C135" t="str">
            <v>RD3054</v>
          </cell>
          <cell r="D135" t="str">
            <v>Cat 777 D</v>
          </cell>
          <cell r="E135">
            <v>13342.1</v>
          </cell>
          <cell r="F135">
            <v>13343.3</v>
          </cell>
          <cell r="G135">
            <v>13352</v>
          </cell>
          <cell r="H135">
            <v>1.1999999999989086</v>
          </cell>
          <cell r="I135">
            <v>8.7000000000007276</v>
          </cell>
          <cell r="J135">
            <v>8.2650000000006916</v>
          </cell>
        </row>
        <row r="136">
          <cell r="C136" t="str">
            <v>RD3097</v>
          </cell>
          <cell r="D136" t="str">
            <v>Cat 777 D</v>
          </cell>
          <cell r="E136">
            <v>8277.4</v>
          </cell>
          <cell r="F136">
            <v>8277.4</v>
          </cell>
          <cell r="G136">
            <v>8286.7999999999993</v>
          </cell>
          <cell r="H136">
            <v>0</v>
          </cell>
          <cell r="I136">
            <v>9.3999999999996362</v>
          </cell>
          <cell r="J136">
            <v>8.9299999999996533</v>
          </cell>
        </row>
        <row r="137">
          <cell r="C137" t="str">
            <v>RD3088</v>
          </cell>
          <cell r="D137" t="str">
            <v>Cat 777 D</v>
          </cell>
          <cell r="E137">
            <v>10563.8</v>
          </cell>
          <cell r="F137">
            <v>10563.8</v>
          </cell>
          <cell r="G137">
            <v>10573.1</v>
          </cell>
          <cell r="H137">
            <v>0</v>
          </cell>
          <cell r="I137">
            <v>9.3000000000010914</v>
          </cell>
          <cell r="J137">
            <v>8.8350000000010365</v>
          </cell>
        </row>
        <row r="138">
          <cell r="D138" t="str">
            <v/>
          </cell>
          <cell r="E138" t="str">
            <v/>
          </cell>
          <cell r="F138">
            <v>0</v>
          </cell>
          <cell r="G138">
            <v>0</v>
          </cell>
          <cell r="H138" t="e">
            <v>#VALUE!</v>
          </cell>
          <cell r="I138">
            <v>0</v>
          </cell>
          <cell r="J138">
            <v>0</v>
          </cell>
        </row>
        <row r="139">
          <cell r="D139" t="str">
            <v/>
          </cell>
          <cell r="E139" t="str">
            <v/>
          </cell>
          <cell r="F139">
            <v>0</v>
          </cell>
          <cell r="G139">
            <v>0</v>
          </cell>
          <cell r="H139" t="e">
            <v>#VALUE!</v>
          </cell>
          <cell r="I139">
            <v>0</v>
          </cell>
          <cell r="J139">
            <v>0</v>
          </cell>
        </row>
        <row r="140">
          <cell r="D140" t="str">
            <v/>
          </cell>
          <cell r="E140" t="str">
            <v/>
          </cell>
          <cell r="H140" t="e">
            <v>#VALUE!</v>
          </cell>
          <cell r="I140">
            <v>0</v>
          </cell>
          <cell r="J140">
            <v>0</v>
          </cell>
        </row>
        <row r="143">
          <cell r="F143" t="str">
            <v>Exc</v>
          </cell>
          <cell r="H143" t="str">
            <v>Haul</v>
          </cell>
          <cell r="J143" t="str">
            <v>CAT</v>
          </cell>
        </row>
        <row r="144">
          <cell r="J144" t="str">
            <v>777 Coal Body</v>
          </cell>
        </row>
        <row r="145">
          <cell r="F145" t="str">
            <v>EX3052</v>
          </cell>
          <cell r="H145">
            <v>900</v>
          </cell>
        </row>
        <row r="169">
          <cell r="F169" t="str">
            <v>WORKGROUP</v>
          </cell>
        </row>
        <row r="170">
          <cell r="F170" t="str">
            <v>COST CODE</v>
          </cell>
        </row>
        <row r="171">
          <cell r="C171" t="str">
            <v>EQUIPMENT</v>
          </cell>
          <cell r="E171" t="str">
            <v>SMU</v>
          </cell>
        </row>
        <row r="172">
          <cell r="C172" t="str">
            <v>NUMBER</v>
          </cell>
          <cell r="D172" t="str">
            <v>TYPE</v>
          </cell>
          <cell r="E172" t="str">
            <v>SBLM</v>
          </cell>
          <cell r="F172" t="str">
            <v>AWAL</v>
          </cell>
          <cell r="G172" t="str">
            <v>AKHIR</v>
          </cell>
          <cell r="H172" t="str">
            <v>diff</v>
          </cell>
          <cell r="I172" t="str">
            <v>TOTAL</v>
          </cell>
          <cell r="J172" t="str">
            <v>AKTUAL</v>
          </cell>
        </row>
        <row r="173">
          <cell r="C173" t="str">
            <v>EX3080</v>
          </cell>
          <cell r="D173" t="str">
            <v>Komatsu PC 1250</v>
          </cell>
          <cell r="E173">
            <v>10045</v>
          </cell>
          <cell r="F173">
            <v>10045</v>
          </cell>
          <cell r="G173">
            <v>10053</v>
          </cell>
          <cell r="H173">
            <v>0</v>
          </cell>
          <cell r="I173">
            <v>8</v>
          </cell>
          <cell r="J173">
            <v>7.6</v>
          </cell>
        </row>
        <row r="174">
          <cell r="D174" t="str">
            <v/>
          </cell>
          <cell r="E174" t="str">
            <v/>
          </cell>
          <cell r="F174">
            <v>0</v>
          </cell>
          <cell r="G174">
            <v>0</v>
          </cell>
          <cell r="H174" t="e">
            <v>#VALUE!</v>
          </cell>
          <cell r="I174">
            <v>0</v>
          </cell>
          <cell r="J174">
            <v>0</v>
          </cell>
        </row>
        <row r="175">
          <cell r="C175" t="str">
            <v>RD3056</v>
          </cell>
          <cell r="D175" t="str">
            <v>Kom HD 785</v>
          </cell>
          <cell r="E175">
            <v>14157</v>
          </cell>
          <cell r="F175">
            <v>14158</v>
          </cell>
          <cell r="G175">
            <v>14166</v>
          </cell>
          <cell r="H175">
            <v>1</v>
          </cell>
          <cell r="I175">
            <v>8</v>
          </cell>
          <cell r="J175">
            <v>7.6</v>
          </cell>
        </row>
        <row r="176">
          <cell r="C176" t="str">
            <v>RD3057</v>
          </cell>
          <cell r="D176" t="str">
            <v>Kom HD 785</v>
          </cell>
          <cell r="E176">
            <v>13861</v>
          </cell>
          <cell r="F176">
            <v>13862</v>
          </cell>
          <cell r="G176">
            <v>13869</v>
          </cell>
          <cell r="H176">
            <v>1</v>
          </cell>
          <cell r="I176">
            <v>7</v>
          </cell>
          <cell r="J176">
            <v>6.6499999999999995</v>
          </cell>
        </row>
        <row r="177">
          <cell r="D177" t="str">
            <v/>
          </cell>
          <cell r="E177" t="str">
            <v/>
          </cell>
          <cell r="F177">
            <v>0</v>
          </cell>
          <cell r="G177">
            <v>0</v>
          </cell>
          <cell r="H177" t="e">
            <v>#VALUE!</v>
          </cell>
          <cell r="I177">
            <v>0</v>
          </cell>
          <cell r="J177">
            <v>0</v>
          </cell>
        </row>
        <row r="178">
          <cell r="D178" t="str">
            <v/>
          </cell>
          <cell r="E178" t="str">
            <v/>
          </cell>
          <cell r="F178">
            <v>0</v>
          </cell>
          <cell r="G178">
            <v>0</v>
          </cell>
          <cell r="H178" t="e">
            <v>#VALUE!</v>
          </cell>
          <cell r="I178">
            <v>0</v>
          </cell>
          <cell r="J178">
            <v>0</v>
          </cell>
        </row>
        <row r="179">
          <cell r="D179" t="str">
            <v/>
          </cell>
          <cell r="E179" t="str">
            <v/>
          </cell>
          <cell r="F179">
            <v>0</v>
          </cell>
          <cell r="G179">
            <v>0</v>
          </cell>
          <cell r="H179" t="e">
            <v>#VALUE!</v>
          </cell>
          <cell r="I179">
            <v>0</v>
          </cell>
          <cell r="J179">
            <v>0</v>
          </cell>
        </row>
        <row r="180">
          <cell r="D180" t="str">
            <v/>
          </cell>
          <cell r="E180" t="str">
            <v/>
          </cell>
          <cell r="H180" t="e">
            <v>#VALUE!</v>
          </cell>
          <cell r="I180">
            <v>0</v>
          </cell>
          <cell r="J180">
            <v>0</v>
          </cell>
        </row>
        <row r="183">
          <cell r="F183" t="str">
            <v>Exc</v>
          </cell>
          <cell r="H183" t="str">
            <v>Haul</v>
          </cell>
          <cell r="J183" t="str">
            <v>CAT</v>
          </cell>
        </row>
        <row r="184">
          <cell r="J184" t="str">
            <v>777 Coal Body</v>
          </cell>
        </row>
        <row r="185">
          <cell r="F185" t="str">
            <v>EX3080</v>
          </cell>
          <cell r="H185">
            <v>1000</v>
          </cell>
        </row>
        <row r="187">
          <cell r="F187" t="str">
            <v>EX3080</v>
          </cell>
          <cell r="H187">
            <v>900</v>
          </cell>
        </row>
        <row r="209">
          <cell r="F209" t="str">
            <v>WORKGROUP</v>
          </cell>
        </row>
        <row r="210">
          <cell r="F210" t="str">
            <v>COST CODE</v>
          </cell>
        </row>
        <row r="211">
          <cell r="C211" t="str">
            <v>EQUIPMENT</v>
          </cell>
          <cell r="E211" t="str">
            <v>SMU</v>
          </cell>
        </row>
        <row r="212">
          <cell r="C212" t="str">
            <v>NUMBER</v>
          </cell>
          <cell r="D212" t="str">
            <v>TYPE</v>
          </cell>
          <cell r="E212" t="str">
            <v>SBLM</v>
          </cell>
          <cell r="F212" t="str">
            <v>AWAL</v>
          </cell>
          <cell r="G212" t="str">
            <v>AKHIR</v>
          </cell>
          <cell r="H212" t="str">
            <v>diff</v>
          </cell>
          <cell r="I212" t="str">
            <v>TOTAL</v>
          </cell>
          <cell r="J212" t="str">
            <v>AKTUAL</v>
          </cell>
        </row>
        <row r="213">
          <cell r="C213" t="str">
            <v>EX8251</v>
          </cell>
          <cell r="D213" t="str">
            <v>Komatsu PC 800</v>
          </cell>
          <cell r="E213">
            <v>14416</v>
          </cell>
          <cell r="F213">
            <v>14416</v>
          </cell>
          <cell r="G213">
            <v>14422</v>
          </cell>
          <cell r="H213">
            <v>0</v>
          </cell>
          <cell r="I213">
            <v>6</v>
          </cell>
          <cell r="J213">
            <v>5.6999999999999993</v>
          </cell>
        </row>
        <row r="214">
          <cell r="D214" t="str">
            <v/>
          </cell>
          <cell r="E214" t="str">
            <v/>
          </cell>
          <cell r="F214">
            <v>0</v>
          </cell>
          <cell r="G214">
            <v>0</v>
          </cell>
          <cell r="H214" t="e">
            <v>#VALUE!</v>
          </cell>
          <cell r="I214">
            <v>0</v>
          </cell>
          <cell r="J214">
            <v>0</v>
          </cell>
        </row>
        <row r="215">
          <cell r="C215" t="str">
            <v>RD3085</v>
          </cell>
          <cell r="D215" t="str">
            <v>Cat 777 D</v>
          </cell>
          <cell r="E215">
            <v>8473.1</v>
          </cell>
          <cell r="F215">
            <v>8473.1</v>
          </cell>
          <cell r="G215">
            <v>8479.6</v>
          </cell>
          <cell r="H215">
            <v>0</v>
          </cell>
          <cell r="I215">
            <v>6.5</v>
          </cell>
          <cell r="J215">
            <v>6.1749999999999998</v>
          </cell>
        </row>
        <row r="216">
          <cell r="C216" t="str">
            <v>RD3084</v>
          </cell>
          <cell r="D216" t="str">
            <v>Cat 777 D</v>
          </cell>
          <cell r="E216">
            <v>10735.1</v>
          </cell>
          <cell r="F216">
            <v>10735.1</v>
          </cell>
          <cell r="G216">
            <v>10738.800000000001</v>
          </cell>
          <cell r="H216">
            <v>0</v>
          </cell>
          <cell r="I216">
            <v>3.7000000000007276</v>
          </cell>
          <cell r="J216">
            <v>3.5150000000006911</v>
          </cell>
        </row>
        <row r="217">
          <cell r="D217" t="str">
            <v/>
          </cell>
          <cell r="E217" t="str">
            <v/>
          </cell>
          <cell r="F217">
            <v>0</v>
          </cell>
          <cell r="G217">
            <v>0</v>
          </cell>
          <cell r="H217" t="e">
            <v>#VALUE!</v>
          </cell>
          <cell r="I217">
            <v>0</v>
          </cell>
          <cell r="J217">
            <v>0</v>
          </cell>
        </row>
        <row r="218">
          <cell r="D218" t="str">
            <v/>
          </cell>
          <cell r="E218" t="str">
            <v/>
          </cell>
          <cell r="F218">
            <v>0</v>
          </cell>
          <cell r="G218">
            <v>0</v>
          </cell>
          <cell r="H218" t="e">
            <v>#VALUE!</v>
          </cell>
          <cell r="I218">
            <v>0</v>
          </cell>
          <cell r="J218">
            <v>0</v>
          </cell>
        </row>
        <row r="219">
          <cell r="D219" t="str">
            <v/>
          </cell>
          <cell r="E219" t="str">
            <v/>
          </cell>
          <cell r="H219" t="e">
            <v>#VALUE!</v>
          </cell>
          <cell r="I219">
            <v>0</v>
          </cell>
          <cell r="J219">
            <v>0</v>
          </cell>
        </row>
        <row r="222">
          <cell r="F222" t="str">
            <v>Exc</v>
          </cell>
          <cell r="H222" t="str">
            <v>Haul</v>
          </cell>
          <cell r="J222" t="str">
            <v>CAT</v>
          </cell>
        </row>
        <row r="223">
          <cell r="J223" t="str">
            <v>777 Coal Body</v>
          </cell>
        </row>
        <row r="224">
          <cell r="F224" t="str">
            <v>EX8251</v>
          </cell>
          <cell r="H224">
            <v>400</v>
          </cell>
        </row>
        <row r="226">
          <cell r="F226" t="str">
            <v>EX8251</v>
          </cell>
          <cell r="H226">
            <v>400</v>
          </cell>
        </row>
        <row r="248">
          <cell r="F248" t="str">
            <v>WORKGROUP</v>
          </cell>
        </row>
        <row r="249">
          <cell r="F249" t="str">
            <v>COST CODE</v>
          </cell>
        </row>
        <row r="250">
          <cell r="C250" t="str">
            <v>EQUIPMENT</v>
          </cell>
          <cell r="E250" t="str">
            <v>SMU</v>
          </cell>
        </row>
        <row r="251">
          <cell r="C251" t="str">
            <v>NUMBER</v>
          </cell>
          <cell r="D251" t="str">
            <v>TYPE</v>
          </cell>
          <cell r="E251" t="str">
            <v>SBLM</v>
          </cell>
          <cell r="F251" t="str">
            <v>AWAL</v>
          </cell>
          <cell r="G251" t="str">
            <v>AKHIR</v>
          </cell>
          <cell r="H251" t="str">
            <v>diff</v>
          </cell>
          <cell r="I251" t="str">
            <v>TOTAL</v>
          </cell>
          <cell r="J251" t="str">
            <v>AKTUAL</v>
          </cell>
        </row>
        <row r="252">
          <cell r="C252" t="str">
            <v>EX3032</v>
          </cell>
          <cell r="D252" t="str">
            <v>Komatsu PC 800</v>
          </cell>
          <cell r="E252">
            <v>11563</v>
          </cell>
          <cell r="F252">
            <v>11564</v>
          </cell>
          <cell r="G252">
            <v>11572</v>
          </cell>
          <cell r="H252">
            <v>1</v>
          </cell>
          <cell r="I252">
            <v>8</v>
          </cell>
          <cell r="J252">
            <v>7.6</v>
          </cell>
        </row>
        <row r="253">
          <cell r="D253" t="str">
            <v/>
          </cell>
          <cell r="E253" t="str">
            <v/>
          </cell>
          <cell r="F253">
            <v>0</v>
          </cell>
          <cell r="G253">
            <v>0</v>
          </cell>
          <cell r="H253" t="e">
            <v>#VALUE!</v>
          </cell>
          <cell r="I253">
            <v>0</v>
          </cell>
          <cell r="J253">
            <v>0</v>
          </cell>
        </row>
        <row r="254">
          <cell r="C254" t="str">
            <v>RD3061</v>
          </cell>
          <cell r="D254" t="str">
            <v>Kom HD 785</v>
          </cell>
          <cell r="E254">
            <v>14191</v>
          </cell>
          <cell r="F254">
            <v>14190</v>
          </cell>
          <cell r="G254">
            <v>14198</v>
          </cell>
          <cell r="H254">
            <v>-1</v>
          </cell>
          <cell r="I254">
            <v>8</v>
          </cell>
          <cell r="J254">
            <v>7.6</v>
          </cell>
        </row>
        <row r="255">
          <cell r="C255" t="str">
            <v>RD3060</v>
          </cell>
          <cell r="D255" t="str">
            <v>Kom HD 785</v>
          </cell>
          <cell r="E255">
            <v>14466</v>
          </cell>
          <cell r="F255">
            <v>14466</v>
          </cell>
          <cell r="G255">
            <v>14474</v>
          </cell>
          <cell r="H255">
            <v>0</v>
          </cell>
          <cell r="I255">
            <v>8</v>
          </cell>
          <cell r="J255">
            <v>7.6</v>
          </cell>
        </row>
        <row r="256">
          <cell r="D256" t="str">
            <v/>
          </cell>
          <cell r="E256" t="str">
            <v/>
          </cell>
          <cell r="F256">
            <v>0</v>
          </cell>
          <cell r="G256">
            <v>0</v>
          </cell>
          <cell r="H256" t="e">
            <v>#VALUE!</v>
          </cell>
          <cell r="I256">
            <v>0</v>
          </cell>
          <cell r="J256">
            <v>0</v>
          </cell>
        </row>
        <row r="257">
          <cell r="D257" t="str">
            <v/>
          </cell>
          <cell r="E257" t="str">
            <v/>
          </cell>
          <cell r="F257">
            <v>0</v>
          </cell>
          <cell r="G257">
            <v>0</v>
          </cell>
          <cell r="H257" t="e">
            <v>#VALUE!</v>
          </cell>
          <cell r="I257">
            <v>0</v>
          </cell>
          <cell r="J257">
            <v>0</v>
          </cell>
        </row>
        <row r="258">
          <cell r="D258" t="str">
            <v/>
          </cell>
          <cell r="E258" t="str">
            <v/>
          </cell>
          <cell r="H258" t="e">
            <v>#VALUE!</v>
          </cell>
          <cell r="I258">
            <v>0</v>
          </cell>
          <cell r="J258">
            <v>0</v>
          </cell>
        </row>
        <row r="261">
          <cell r="F261" t="str">
            <v>Exc</v>
          </cell>
          <cell r="H261" t="str">
            <v>Haul</v>
          </cell>
          <cell r="J261" t="str">
            <v>CAT</v>
          </cell>
        </row>
        <row r="262">
          <cell r="J262" t="str">
            <v>777 Coal Body</v>
          </cell>
        </row>
        <row r="263">
          <cell r="F263" t="str">
            <v>EX3032</v>
          </cell>
          <cell r="H263">
            <v>900</v>
          </cell>
        </row>
        <row r="265">
          <cell r="F265" t="str">
            <v>EX3032</v>
          </cell>
          <cell r="H265">
            <v>900</v>
          </cell>
        </row>
        <row r="282">
          <cell r="J282" t="str">
            <v>MINING KRESNA_ YUDISTIRA_ANTASENA</v>
          </cell>
        </row>
        <row r="283">
          <cell r="G283" t="str">
            <v xml:space="preserve">DAY: </v>
          </cell>
          <cell r="H283">
            <v>39164</v>
          </cell>
        </row>
        <row r="286">
          <cell r="E286" t="str">
            <v>SMU</v>
          </cell>
        </row>
        <row r="287">
          <cell r="E287" t="str">
            <v>SHIFT</v>
          </cell>
        </row>
        <row r="288">
          <cell r="C288" t="str">
            <v>UNIT No.</v>
          </cell>
          <cell r="D288" t="str">
            <v>TYPE</v>
          </cell>
          <cell r="E288" t="str">
            <v>SBLM</v>
          </cell>
          <cell r="F288" t="str">
            <v>AWAL</v>
          </cell>
          <cell r="G288" t="str">
            <v>AKHIR</v>
          </cell>
          <cell r="H288" t="str">
            <v>diff</v>
          </cell>
          <cell r="I288" t="str">
            <v>TOTAL</v>
          </cell>
          <cell r="J288" t="str">
            <v>AKTUAL</v>
          </cell>
        </row>
        <row r="289">
          <cell r="C289" t="str">
            <v>EX3085</v>
          </cell>
          <cell r="D289" t="str">
            <v>Hitachi 330</v>
          </cell>
          <cell r="E289">
            <v>7413.4</v>
          </cell>
          <cell r="F289">
            <v>7412.5</v>
          </cell>
          <cell r="G289">
            <v>7422</v>
          </cell>
          <cell r="H289">
            <v>-0.8999999999996362</v>
          </cell>
          <cell r="I289">
            <v>9.5</v>
          </cell>
          <cell r="J289">
            <v>9.0250000000000004</v>
          </cell>
        </row>
        <row r="290">
          <cell r="C290" t="str">
            <v>EX3110</v>
          </cell>
          <cell r="D290" t="str">
            <v>Cat-330 D</v>
          </cell>
          <cell r="E290">
            <v>395.2</v>
          </cell>
          <cell r="F290">
            <v>395.3</v>
          </cell>
          <cell r="G290">
            <v>401.6</v>
          </cell>
          <cell r="H290">
            <v>0.10000000000002274</v>
          </cell>
          <cell r="I290">
            <v>6.3000000000000114</v>
          </cell>
          <cell r="J290">
            <v>5.9850000000000101</v>
          </cell>
        </row>
        <row r="291">
          <cell r="C291" t="str">
            <v>EX3109</v>
          </cell>
          <cell r="D291" t="str">
            <v>Cat-330 D</v>
          </cell>
          <cell r="E291">
            <v>356.7</v>
          </cell>
          <cell r="F291">
            <v>356.1</v>
          </cell>
          <cell r="G291">
            <v>364.6</v>
          </cell>
          <cell r="H291">
            <v>-0.59999999999996589</v>
          </cell>
          <cell r="I291">
            <v>8.5</v>
          </cell>
          <cell r="J291">
            <v>8.0749999999999993</v>
          </cell>
        </row>
        <row r="292">
          <cell r="C292" t="str">
            <v>DZ3085</v>
          </cell>
          <cell r="D292" t="str">
            <v>D 7 G</v>
          </cell>
          <cell r="E292">
            <v>5351</v>
          </cell>
          <cell r="F292">
            <v>5351.1</v>
          </cell>
          <cell r="G292">
            <v>5359.7</v>
          </cell>
          <cell r="H292">
            <v>0.1000000000003638</v>
          </cell>
          <cell r="I292">
            <v>8.5999999999994543</v>
          </cell>
          <cell r="J292">
            <v>8.1699999999994812</v>
          </cell>
        </row>
        <row r="293">
          <cell r="C293" t="str">
            <v>DZ3066</v>
          </cell>
          <cell r="D293" t="str">
            <v>D 65 SS</v>
          </cell>
          <cell r="E293">
            <v>8016.5</v>
          </cell>
          <cell r="F293">
            <v>8016.5</v>
          </cell>
          <cell r="G293">
            <v>8024</v>
          </cell>
          <cell r="H293">
            <v>0</v>
          </cell>
          <cell r="I293">
            <v>7.5</v>
          </cell>
          <cell r="J293">
            <v>7.125</v>
          </cell>
        </row>
        <row r="294">
          <cell r="C294" t="str">
            <v>DZ3020</v>
          </cell>
          <cell r="D294" t="str">
            <v>D 85 SS</v>
          </cell>
          <cell r="E294">
            <v>374.1</v>
          </cell>
          <cell r="F294">
            <v>374.1</v>
          </cell>
          <cell r="G294">
            <v>382.5</v>
          </cell>
          <cell r="H294">
            <v>0</v>
          </cell>
          <cell r="I294">
            <v>8.3999999999999773</v>
          </cell>
          <cell r="J294">
            <v>7.9799999999999782</v>
          </cell>
        </row>
        <row r="295">
          <cell r="C295" t="str">
            <v>DZ3095</v>
          </cell>
          <cell r="D295" t="str">
            <v>Cat D 10</v>
          </cell>
          <cell r="E295">
            <v>5116.8</v>
          </cell>
          <cell r="F295">
            <v>5116.8</v>
          </cell>
          <cell r="G295">
            <v>5122.1000000000004</v>
          </cell>
          <cell r="H295">
            <v>0</v>
          </cell>
          <cell r="I295">
            <v>5.3000000000001819</v>
          </cell>
          <cell r="J295">
            <v>5.0350000000001724</v>
          </cell>
        </row>
        <row r="296">
          <cell r="C296" t="str">
            <v>DZ3096</v>
          </cell>
          <cell r="D296" t="str">
            <v>Cat D 10</v>
          </cell>
          <cell r="E296">
            <v>5055.5</v>
          </cell>
          <cell r="F296">
            <v>5055.7</v>
          </cell>
          <cell r="G296">
            <v>5064.8999999999996</v>
          </cell>
          <cell r="H296">
            <v>0.1999999999998181</v>
          </cell>
          <cell r="I296">
            <v>9.1999999999998181</v>
          </cell>
          <cell r="J296">
            <v>8.7399999999998261</v>
          </cell>
        </row>
        <row r="297">
          <cell r="C297" t="str">
            <v>DZ3037</v>
          </cell>
          <cell r="D297" t="str">
            <v>Cat D 10</v>
          </cell>
          <cell r="E297">
            <v>10018</v>
          </cell>
          <cell r="F297">
            <v>10018</v>
          </cell>
          <cell r="G297">
            <v>10024</v>
          </cell>
          <cell r="H297">
            <v>0</v>
          </cell>
          <cell r="I297">
            <v>6</v>
          </cell>
          <cell r="J297">
            <v>5.6999999999999993</v>
          </cell>
        </row>
        <row r="298">
          <cell r="C298" t="str">
            <v>DZ3034</v>
          </cell>
          <cell r="D298" t="str">
            <v>Cat D 10</v>
          </cell>
          <cell r="E298">
            <v>10342</v>
          </cell>
          <cell r="F298">
            <v>10342</v>
          </cell>
          <cell r="G298">
            <v>10353</v>
          </cell>
          <cell r="H298">
            <v>0</v>
          </cell>
          <cell r="I298">
            <v>11</v>
          </cell>
          <cell r="J298">
            <v>10.45</v>
          </cell>
        </row>
        <row r="299">
          <cell r="C299" t="str">
            <v>DZ3036</v>
          </cell>
          <cell r="D299" t="str">
            <v>Cat D 10</v>
          </cell>
          <cell r="E299">
            <v>9523</v>
          </cell>
          <cell r="F299">
            <v>9523</v>
          </cell>
          <cell r="G299">
            <v>9531</v>
          </cell>
          <cell r="H299">
            <v>0</v>
          </cell>
          <cell r="I299">
            <v>8</v>
          </cell>
          <cell r="J299">
            <v>7.6</v>
          </cell>
        </row>
        <row r="300">
          <cell r="C300" t="str">
            <v>DZ3097</v>
          </cell>
          <cell r="D300" t="str">
            <v>Cat D 10</v>
          </cell>
          <cell r="E300">
            <v>4980.8</v>
          </cell>
          <cell r="F300">
            <v>4980.8</v>
          </cell>
          <cell r="G300">
            <v>4983.7</v>
          </cell>
          <cell r="H300">
            <v>0</v>
          </cell>
          <cell r="I300">
            <v>2.8999999999996362</v>
          </cell>
          <cell r="J300">
            <v>2.7549999999996544</v>
          </cell>
        </row>
        <row r="301">
          <cell r="C301" t="str">
            <v>GR3019</v>
          </cell>
          <cell r="D301" t="str">
            <v xml:space="preserve"> Cat 24 H</v>
          </cell>
          <cell r="E301">
            <v>5062</v>
          </cell>
          <cell r="F301">
            <v>5062</v>
          </cell>
          <cell r="G301">
            <v>5070.7</v>
          </cell>
          <cell r="H301">
            <v>0</v>
          </cell>
          <cell r="I301">
            <v>8.6999999999998181</v>
          </cell>
          <cell r="J301">
            <v>8.2649999999998265</v>
          </cell>
        </row>
        <row r="302">
          <cell r="C302" t="str">
            <v>GR3006</v>
          </cell>
          <cell r="D302" t="str">
            <v xml:space="preserve"> Cat 16 H</v>
          </cell>
          <cell r="E302">
            <v>11671.8</v>
          </cell>
          <cell r="F302">
            <v>11671.8</v>
          </cell>
          <cell r="G302">
            <v>11681.7</v>
          </cell>
          <cell r="H302">
            <v>0</v>
          </cell>
          <cell r="I302">
            <v>9.9000000000014552</v>
          </cell>
          <cell r="J302">
            <v>9.4050000000013814</v>
          </cell>
        </row>
        <row r="303">
          <cell r="C303" t="str">
            <v>GR8231</v>
          </cell>
          <cell r="D303" t="str">
            <v xml:space="preserve"> Cat 16 H</v>
          </cell>
          <cell r="E303">
            <v>23094.400000000001</v>
          </cell>
          <cell r="F303">
            <v>23094.400000000001</v>
          </cell>
          <cell r="G303">
            <v>23105.5</v>
          </cell>
          <cell r="H303">
            <v>0</v>
          </cell>
          <cell r="I303">
            <v>11.099999999998545</v>
          </cell>
          <cell r="J303">
            <v>10.544999999998618</v>
          </cell>
        </row>
        <row r="304">
          <cell r="C304" t="str">
            <v>WT3155</v>
          </cell>
          <cell r="D304" t="str">
            <v>773 E</v>
          </cell>
          <cell r="E304">
            <v>8309.7000000000007</v>
          </cell>
          <cell r="F304">
            <v>8309.7000000000007</v>
          </cell>
          <cell r="G304">
            <v>8316.2000000000007</v>
          </cell>
          <cell r="H304">
            <v>0</v>
          </cell>
          <cell r="I304">
            <v>6.5</v>
          </cell>
          <cell r="J304">
            <v>6.1749999999999998</v>
          </cell>
        </row>
        <row r="305">
          <cell r="C305" t="str">
            <v>VT3040</v>
          </cell>
          <cell r="D305" t="str">
            <v>Manhaul</v>
          </cell>
          <cell r="E305">
            <v>3456.9</v>
          </cell>
          <cell r="F305">
            <v>3456.9</v>
          </cell>
          <cell r="G305">
            <v>3462.8</v>
          </cell>
          <cell r="H305">
            <v>0</v>
          </cell>
          <cell r="I305">
            <v>5.9000000000000909</v>
          </cell>
          <cell r="J305">
            <v>5.6050000000000866</v>
          </cell>
        </row>
        <row r="307">
          <cell r="H307" t="str">
            <v>CATATAN:</v>
          </cell>
        </row>
        <row r="316">
          <cell r="C316" t="str">
            <v>(SMNT,UMNT,TGET)</v>
          </cell>
        </row>
        <row r="321">
          <cell r="G321" t="str">
            <v xml:space="preserve">DAY: </v>
          </cell>
          <cell r="H321">
            <v>0</v>
          </cell>
        </row>
        <row r="324">
          <cell r="E324" t="str">
            <v>SMU</v>
          </cell>
        </row>
        <row r="325">
          <cell r="E325" t="str">
            <v>SHIFT</v>
          </cell>
        </row>
        <row r="326">
          <cell r="C326" t="str">
            <v>UNIT No.</v>
          </cell>
          <cell r="D326" t="str">
            <v>TYPE</v>
          </cell>
          <cell r="E326" t="str">
            <v>SBLM</v>
          </cell>
          <cell r="F326" t="str">
            <v>AWAL</v>
          </cell>
          <cell r="G326" t="str">
            <v>AKHIR</v>
          </cell>
          <cell r="H326" t="str">
            <v>diff</v>
          </cell>
          <cell r="I326" t="str">
            <v>TOTAL</v>
          </cell>
          <cell r="J326" t="str">
            <v>AKTUAL</v>
          </cell>
        </row>
        <row r="327">
          <cell r="C327" t="str">
            <v>EX3011</v>
          </cell>
          <cell r="D327" t="str">
            <v>Hitachi 3600</v>
          </cell>
          <cell r="E327">
            <v>13924.5</v>
          </cell>
          <cell r="F327">
            <v>13924.5</v>
          </cell>
          <cell r="G327">
            <v>13924.5</v>
          </cell>
          <cell r="H327">
            <v>0</v>
          </cell>
          <cell r="I327">
            <v>0</v>
          </cell>
          <cell r="J327">
            <v>0</v>
          </cell>
        </row>
        <row r="328">
          <cell r="C328" t="str">
            <v>EX7627</v>
          </cell>
          <cell r="D328" t="str">
            <v>994 Exc</v>
          </cell>
          <cell r="E328">
            <v>1153</v>
          </cell>
          <cell r="F328">
            <v>1153</v>
          </cell>
          <cell r="G328">
            <v>1153</v>
          </cell>
          <cell r="H328">
            <v>0</v>
          </cell>
          <cell r="I328">
            <v>0</v>
          </cell>
          <cell r="J328">
            <v>0</v>
          </cell>
        </row>
        <row r="329">
          <cell r="C329" t="str">
            <v>RD7871</v>
          </cell>
          <cell r="D329" t="str">
            <v>Cat 785</v>
          </cell>
          <cell r="E329">
            <v>26237.3</v>
          </cell>
          <cell r="F329">
            <v>26237.3</v>
          </cell>
          <cell r="G329">
            <v>26237.3</v>
          </cell>
          <cell r="H329">
            <v>0</v>
          </cell>
          <cell r="I329">
            <v>0</v>
          </cell>
          <cell r="J329">
            <v>0</v>
          </cell>
        </row>
        <row r="330">
          <cell r="C330" t="str">
            <v>RD7875</v>
          </cell>
          <cell r="D330" t="str">
            <v>Cat 785</v>
          </cell>
          <cell r="E330">
            <v>25896.3</v>
          </cell>
          <cell r="F330">
            <v>25896.3</v>
          </cell>
          <cell r="G330">
            <v>25896.3</v>
          </cell>
          <cell r="H330">
            <v>0</v>
          </cell>
          <cell r="I330">
            <v>0</v>
          </cell>
          <cell r="J330">
            <v>0</v>
          </cell>
        </row>
        <row r="331">
          <cell r="C331" t="str">
            <v>RD7922</v>
          </cell>
          <cell r="D331" t="str">
            <v>Cat 785</v>
          </cell>
          <cell r="E331">
            <v>27591.5</v>
          </cell>
          <cell r="F331">
            <v>27591.5</v>
          </cell>
          <cell r="G331">
            <v>27591.5</v>
          </cell>
          <cell r="H331">
            <v>0</v>
          </cell>
          <cell r="I331">
            <v>0</v>
          </cell>
          <cell r="J331">
            <v>0</v>
          </cell>
        </row>
        <row r="332">
          <cell r="C332" t="str">
            <v>RD7511</v>
          </cell>
          <cell r="D332" t="str">
            <v>Cat 785</v>
          </cell>
          <cell r="E332">
            <v>7781.5</v>
          </cell>
          <cell r="F332">
            <v>7781.5</v>
          </cell>
          <cell r="G332">
            <v>7781.5</v>
          </cell>
          <cell r="H332">
            <v>0</v>
          </cell>
          <cell r="I332">
            <v>0</v>
          </cell>
          <cell r="J332">
            <v>0</v>
          </cell>
        </row>
        <row r="333">
          <cell r="C333" t="str">
            <v>WT7547</v>
          </cell>
          <cell r="D333" t="str">
            <v>773 E</v>
          </cell>
          <cell r="E333" t="str">
            <v/>
          </cell>
          <cell r="F333" t="str">
            <v/>
          </cell>
          <cell r="G333" t="str">
            <v/>
          </cell>
          <cell r="H333" t="e">
            <v>#VALUE!</v>
          </cell>
          <cell r="I333" t="e">
            <v>#VALUE!</v>
          </cell>
          <cell r="J333" t="e">
            <v>#VALUE!</v>
          </cell>
        </row>
      </sheetData>
      <sheetData sheetId="3" refreshError="1">
        <row r="11">
          <cell r="C11" t="str">
            <v>EX3044</v>
          </cell>
          <cell r="D11" t="str">
            <v>Hitachi 3600</v>
          </cell>
          <cell r="E11">
            <v>9810.2999999999993</v>
          </cell>
          <cell r="F11">
            <v>9810.2999999999993</v>
          </cell>
          <cell r="G11">
            <v>9814.2999999999993</v>
          </cell>
          <cell r="H11">
            <v>0</v>
          </cell>
          <cell r="I11">
            <v>4</v>
          </cell>
          <cell r="J11">
            <v>3.8</v>
          </cell>
        </row>
        <row r="12">
          <cell r="D12" t="str">
            <v/>
          </cell>
          <cell r="E12" t="str">
            <v/>
          </cell>
          <cell r="F12" t="str">
            <v/>
          </cell>
        </row>
        <row r="13">
          <cell r="C13" t="str">
            <v>RD3245</v>
          </cell>
          <cell r="D13" t="str">
            <v>Cat 785</v>
          </cell>
          <cell r="E13">
            <v>34.299999999999997</v>
          </cell>
          <cell r="F13">
            <v>34.299999999999997</v>
          </cell>
          <cell r="G13">
            <v>38.5</v>
          </cell>
          <cell r="H13">
            <v>0</v>
          </cell>
          <cell r="I13">
            <v>4.2000000000000028</v>
          </cell>
          <cell r="J13">
            <v>3.9900000000000024</v>
          </cell>
        </row>
        <row r="14">
          <cell r="C14" t="str">
            <v>RD7876</v>
          </cell>
          <cell r="D14" t="str">
            <v>Cat 785</v>
          </cell>
          <cell r="E14">
            <v>28361.4</v>
          </cell>
          <cell r="F14">
            <v>28361.4</v>
          </cell>
          <cell r="G14">
            <v>28364.6</v>
          </cell>
          <cell r="H14">
            <v>0</v>
          </cell>
          <cell r="I14">
            <v>3.1999999999970896</v>
          </cell>
          <cell r="J14">
            <v>3.0399999999972351</v>
          </cell>
        </row>
        <row r="15">
          <cell r="C15" t="str">
            <v>RD7870</v>
          </cell>
          <cell r="D15" t="str">
            <v>Cat 785</v>
          </cell>
          <cell r="E15">
            <v>27606</v>
          </cell>
          <cell r="F15">
            <v>27606.2</v>
          </cell>
          <cell r="G15">
            <v>27608.3</v>
          </cell>
          <cell r="H15">
            <v>0.2000000000007276</v>
          </cell>
          <cell r="I15">
            <v>2.0999999999985448</v>
          </cell>
          <cell r="J15">
            <v>1.9949999999986174</v>
          </cell>
        </row>
        <row r="16">
          <cell r="C16" t="str">
            <v>RD7874</v>
          </cell>
          <cell r="D16" t="str">
            <v>Cat 785</v>
          </cell>
          <cell r="E16">
            <v>27485.599999999999</v>
          </cell>
          <cell r="F16">
            <v>27485.8</v>
          </cell>
          <cell r="G16">
            <v>27489.599999999999</v>
          </cell>
          <cell r="H16">
            <v>0.2000000000007276</v>
          </cell>
          <cell r="I16">
            <v>3.7999999999992724</v>
          </cell>
          <cell r="J16">
            <v>3.6099999999993084</v>
          </cell>
        </row>
        <row r="17">
          <cell r="D17" t="str">
            <v/>
          </cell>
          <cell r="E17" t="str">
            <v/>
          </cell>
          <cell r="F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</row>
        <row r="20">
          <cell r="D20" t="str">
            <v/>
          </cell>
          <cell r="E20" t="str">
            <v/>
          </cell>
        </row>
        <row r="21">
          <cell r="D21" t="str">
            <v/>
          </cell>
          <cell r="E21" t="str">
            <v/>
          </cell>
        </row>
        <row r="22">
          <cell r="I22">
            <v>30.5</v>
          </cell>
        </row>
        <row r="24">
          <cell r="G24" t="str">
            <v>Exc</v>
          </cell>
          <cell r="H24" t="str">
            <v>Haul Dist</v>
          </cell>
          <cell r="I24" t="str">
            <v>CAT</v>
          </cell>
        </row>
        <row r="25">
          <cell r="I25" t="str">
            <v>777 Coal Body</v>
          </cell>
        </row>
        <row r="26">
          <cell r="G26" t="str">
            <v>Exc3034</v>
          </cell>
          <cell r="H26" t="str">
            <v>800 M</v>
          </cell>
        </row>
        <row r="50">
          <cell r="F50" t="str">
            <v>WORKGROUP</v>
          </cell>
        </row>
        <row r="51">
          <cell r="F51" t="str">
            <v>COST CODE</v>
          </cell>
        </row>
        <row r="52">
          <cell r="C52" t="str">
            <v>EQUIPMENT</v>
          </cell>
          <cell r="E52" t="str">
            <v>SMU</v>
          </cell>
        </row>
        <row r="53">
          <cell r="C53" t="str">
            <v>NUMBER</v>
          </cell>
          <cell r="D53" t="str">
            <v>TYPE</v>
          </cell>
          <cell r="E53" t="str">
            <v>SBLM</v>
          </cell>
          <cell r="F53" t="str">
            <v>AWAL</v>
          </cell>
          <cell r="G53" t="str">
            <v>AKHIR</v>
          </cell>
          <cell r="H53" t="str">
            <v>diff</v>
          </cell>
          <cell r="I53" t="str">
            <v>TOTAL</v>
          </cell>
          <cell r="J53" t="str">
            <v>AKTUAL</v>
          </cell>
        </row>
        <row r="54">
          <cell r="C54" t="str">
            <v>EX3007</v>
          </cell>
          <cell r="D54" t="str">
            <v>Hitachi 2500</v>
          </cell>
          <cell r="E54">
            <v>24379.200000000001</v>
          </cell>
          <cell r="F54">
            <v>24379.200000000001</v>
          </cell>
          <cell r="G54">
            <v>24382</v>
          </cell>
          <cell r="H54">
            <v>0</v>
          </cell>
          <cell r="I54">
            <v>2.7999999999992724</v>
          </cell>
          <cell r="J54">
            <v>2.6599999999993087</v>
          </cell>
        </row>
        <row r="55">
          <cell r="D55" t="str">
            <v/>
          </cell>
          <cell r="E55" t="str">
            <v/>
          </cell>
          <cell r="F55" t="str">
            <v/>
          </cell>
        </row>
        <row r="56">
          <cell r="C56" t="str">
            <v>RD7871</v>
          </cell>
          <cell r="D56" t="str">
            <v>Cat 785</v>
          </cell>
          <cell r="E56">
            <v>26237.3</v>
          </cell>
          <cell r="F56">
            <v>26243</v>
          </cell>
          <cell r="G56">
            <v>26246.7</v>
          </cell>
          <cell r="H56">
            <v>5.7000000000007276</v>
          </cell>
          <cell r="I56">
            <v>3.7000000000007276</v>
          </cell>
          <cell r="J56">
            <v>3.5150000000006911</v>
          </cell>
        </row>
        <row r="57">
          <cell r="C57" t="str">
            <v>RD7877</v>
          </cell>
          <cell r="D57" t="str">
            <v>Cat 785</v>
          </cell>
          <cell r="E57">
            <v>27735.8</v>
          </cell>
          <cell r="F57">
            <v>27736</v>
          </cell>
          <cell r="G57">
            <v>27739.1</v>
          </cell>
          <cell r="H57">
            <v>0.2000000000007276</v>
          </cell>
          <cell r="I57">
            <v>3.0999999999985448</v>
          </cell>
          <cell r="J57">
            <v>2.9449999999986174</v>
          </cell>
        </row>
        <row r="58">
          <cell r="D58" t="str">
            <v/>
          </cell>
          <cell r="E58" t="str">
            <v/>
          </cell>
          <cell r="F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</row>
        <row r="60">
          <cell r="D60" t="str">
            <v/>
          </cell>
          <cell r="E60" t="str">
            <v/>
          </cell>
        </row>
        <row r="61">
          <cell r="D61" t="str">
            <v/>
          </cell>
          <cell r="E61" t="str">
            <v/>
          </cell>
        </row>
        <row r="64">
          <cell r="G64" t="str">
            <v>Exc</v>
          </cell>
          <cell r="H64" t="str">
            <v>Haul Dist</v>
          </cell>
          <cell r="I64" t="str">
            <v>CAT</v>
          </cell>
        </row>
        <row r="65">
          <cell r="I65" t="str">
            <v>777 Coal Body</v>
          </cell>
        </row>
        <row r="66">
          <cell r="G66" t="str">
            <v>Exc3007</v>
          </cell>
          <cell r="H66" t="str">
            <v>800 M</v>
          </cell>
        </row>
        <row r="90">
          <cell r="F90" t="str">
            <v>WORKGROUP</v>
          </cell>
        </row>
        <row r="91">
          <cell r="F91" t="str">
            <v>COST CODE</v>
          </cell>
        </row>
        <row r="92">
          <cell r="C92" t="str">
            <v>EQUIPMENT</v>
          </cell>
          <cell r="E92" t="str">
            <v>SMU</v>
          </cell>
        </row>
        <row r="93">
          <cell r="C93" t="str">
            <v>NUMBER</v>
          </cell>
          <cell r="D93" t="str">
            <v>TYPE</v>
          </cell>
          <cell r="E93" t="str">
            <v>SBLM</v>
          </cell>
          <cell r="F93" t="str">
            <v>AWAL</v>
          </cell>
          <cell r="G93" t="str">
            <v>AKHIR</v>
          </cell>
          <cell r="H93" t="str">
            <v>diff</v>
          </cell>
          <cell r="I93" t="str">
            <v>TOTAL</v>
          </cell>
          <cell r="J93" t="str">
            <v>AKTUAL</v>
          </cell>
        </row>
        <row r="94">
          <cell r="C94" t="str">
            <v>EX7666</v>
          </cell>
          <cell r="D94" t="str">
            <v>994 Exc</v>
          </cell>
          <cell r="E94">
            <v>9</v>
          </cell>
          <cell r="F94">
            <v>9</v>
          </cell>
          <cell r="G94">
            <v>14</v>
          </cell>
          <cell r="H94">
            <v>0</v>
          </cell>
          <cell r="I94">
            <v>5</v>
          </cell>
          <cell r="J94">
            <v>4.75</v>
          </cell>
        </row>
        <row r="95">
          <cell r="D95" t="str">
            <v/>
          </cell>
          <cell r="E95" t="str">
            <v/>
          </cell>
          <cell r="F95" t="str">
            <v/>
          </cell>
        </row>
        <row r="96">
          <cell r="C96" t="str">
            <v>RD3088</v>
          </cell>
          <cell r="D96" t="str">
            <v>Cat 777 D</v>
          </cell>
          <cell r="E96">
            <v>10573.1</v>
          </cell>
          <cell r="F96">
            <v>10573.2</v>
          </cell>
          <cell r="G96">
            <v>10577.2</v>
          </cell>
          <cell r="H96">
            <v>0.1000000000003638</v>
          </cell>
          <cell r="I96">
            <v>4</v>
          </cell>
          <cell r="J96">
            <v>3.8</v>
          </cell>
        </row>
        <row r="97">
          <cell r="C97" t="str">
            <v>RD3086</v>
          </cell>
          <cell r="D97" t="str">
            <v>Cat 777 D</v>
          </cell>
          <cell r="E97">
            <v>10108.1</v>
          </cell>
          <cell r="F97">
            <v>10108.1</v>
          </cell>
          <cell r="G97">
            <v>10112.1</v>
          </cell>
          <cell r="H97">
            <v>0</v>
          </cell>
          <cell r="I97">
            <v>4</v>
          </cell>
          <cell r="J97">
            <v>3.8</v>
          </cell>
        </row>
        <row r="98">
          <cell r="D98" t="str">
            <v/>
          </cell>
          <cell r="E98" t="str">
            <v/>
          </cell>
          <cell r="F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</row>
        <row r="100">
          <cell r="D100" t="str">
            <v/>
          </cell>
          <cell r="E100" t="str">
            <v/>
          </cell>
        </row>
        <row r="101">
          <cell r="D101" t="str">
            <v/>
          </cell>
          <cell r="E101" t="str">
            <v/>
          </cell>
        </row>
        <row r="104">
          <cell r="G104" t="str">
            <v>Exc</v>
          </cell>
          <cell r="H104" t="str">
            <v>Haul Dist</v>
          </cell>
          <cell r="I104" t="str">
            <v>CAT</v>
          </cell>
        </row>
        <row r="105">
          <cell r="I105" t="str">
            <v>777 Coal Body</v>
          </cell>
        </row>
        <row r="106">
          <cell r="G106" t="str">
            <v>Exc7666</v>
          </cell>
          <cell r="H106" t="str">
            <v>400 M</v>
          </cell>
        </row>
        <row r="130">
          <cell r="F130" t="str">
            <v>WORKGROUP</v>
          </cell>
        </row>
        <row r="131">
          <cell r="F131" t="str">
            <v>COST CODE</v>
          </cell>
        </row>
        <row r="132">
          <cell r="C132" t="str">
            <v>EQUIPMENT</v>
          </cell>
          <cell r="E132" t="str">
            <v>SMU</v>
          </cell>
        </row>
        <row r="133">
          <cell r="C133" t="str">
            <v>NUMBER</v>
          </cell>
          <cell r="D133" t="str">
            <v>TYPE</v>
          </cell>
          <cell r="E133" t="str">
            <v>SBLM</v>
          </cell>
          <cell r="F133" t="str">
            <v>AWAL</v>
          </cell>
          <cell r="G133" t="str">
            <v>AKHIR</v>
          </cell>
          <cell r="I133" t="str">
            <v>TOTAL</v>
          </cell>
          <cell r="J133" t="str">
            <v>AKTUAL</v>
          </cell>
        </row>
        <row r="134">
          <cell r="C134" t="str">
            <v>EX3052</v>
          </cell>
          <cell r="D134" t="str">
            <v>Hitachi 1200</v>
          </cell>
          <cell r="E134">
            <v>12214.4</v>
          </cell>
          <cell r="F134">
            <v>12214.4</v>
          </cell>
          <cell r="G134">
            <v>12216.7</v>
          </cell>
          <cell r="H134">
            <v>0</v>
          </cell>
          <cell r="I134">
            <v>2.3000000000010914</v>
          </cell>
          <cell r="J134">
            <v>2.1850000000010366</v>
          </cell>
        </row>
        <row r="135">
          <cell r="D135" t="str">
            <v/>
          </cell>
          <cell r="E135" t="str">
            <v/>
          </cell>
          <cell r="F135" t="str">
            <v/>
          </cell>
        </row>
        <row r="136">
          <cell r="C136" t="str">
            <v>RD3097</v>
          </cell>
          <cell r="D136" t="str">
            <v>Cat 777 D</v>
          </cell>
          <cell r="E136">
            <v>8286.7999999999993</v>
          </cell>
          <cell r="F136">
            <v>8286.7999999999993</v>
          </cell>
          <cell r="G136">
            <v>8289.1</v>
          </cell>
          <cell r="H136">
            <v>0</v>
          </cell>
          <cell r="I136">
            <v>2.3000000000010914</v>
          </cell>
          <cell r="J136">
            <v>2.1850000000010366</v>
          </cell>
        </row>
        <row r="137">
          <cell r="C137" t="str">
            <v>RD3054</v>
          </cell>
          <cell r="D137" t="str">
            <v>Cat 777 D</v>
          </cell>
          <cell r="E137">
            <v>13352</v>
          </cell>
          <cell r="F137">
            <v>13352.5</v>
          </cell>
          <cell r="G137">
            <v>13354.8</v>
          </cell>
          <cell r="H137">
            <v>0.5</v>
          </cell>
          <cell r="I137">
            <v>2.2999999999992724</v>
          </cell>
          <cell r="J137">
            <v>2.1849999999993086</v>
          </cell>
        </row>
        <row r="138">
          <cell r="C138" t="str">
            <v>RD3057</v>
          </cell>
          <cell r="D138" t="str">
            <v>Kom HD 785</v>
          </cell>
          <cell r="E138">
            <v>13869</v>
          </cell>
          <cell r="F138">
            <v>13869</v>
          </cell>
          <cell r="G138">
            <v>13871</v>
          </cell>
          <cell r="H138">
            <v>0</v>
          </cell>
          <cell r="I138">
            <v>2</v>
          </cell>
          <cell r="J138">
            <v>1.9</v>
          </cell>
        </row>
        <row r="139">
          <cell r="D139" t="str">
            <v/>
          </cell>
          <cell r="E139" t="str">
            <v/>
          </cell>
          <cell r="F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</row>
        <row r="142">
          <cell r="D142" t="str">
            <v/>
          </cell>
          <cell r="E142" t="str">
            <v/>
          </cell>
        </row>
        <row r="145">
          <cell r="G145" t="str">
            <v>Exc</v>
          </cell>
          <cell r="H145" t="str">
            <v>Haul Dist</v>
          </cell>
          <cell r="I145" t="str">
            <v>CAT</v>
          </cell>
        </row>
        <row r="146">
          <cell r="I146" t="str">
            <v>777 Coal Body</v>
          </cell>
        </row>
        <row r="147">
          <cell r="G147" t="str">
            <v>Exc3052</v>
          </cell>
          <cell r="H147" t="str">
            <v>900 M</v>
          </cell>
        </row>
        <row r="171">
          <cell r="F171" t="str">
            <v>WORKGROUP</v>
          </cell>
        </row>
        <row r="172">
          <cell r="F172" t="str">
            <v>COST CODE</v>
          </cell>
        </row>
        <row r="173">
          <cell r="C173" t="str">
            <v>EQUIPMENT</v>
          </cell>
          <cell r="E173" t="str">
            <v>SMU</v>
          </cell>
        </row>
        <row r="174">
          <cell r="C174" t="str">
            <v>NUMBER</v>
          </cell>
          <cell r="D174" t="str">
            <v>TYPE</v>
          </cell>
          <cell r="E174" t="str">
            <v>SBLM</v>
          </cell>
          <cell r="F174" t="str">
            <v>AWAL</v>
          </cell>
          <cell r="G174" t="str">
            <v>AKHIR</v>
          </cell>
          <cell r="H174" t="str">
            <v>diff</v>
          </cell>
          <cell r="I174" t="str">
            <v>TOTAL</v>
          </cell>
          <cell r="J174" t="str">
            <v>AKTUAL</v>
          </cell>
        </row>
        <row r="175">
          <cell r="C175" t="str">
            <v>EX8251</v>
          </cell>
          <cell r="D175" t="str">
            <v>Komatsu PC 800</v>
          </cell>
          <cell r="E175">
            <v>14422</v>
          </cell>
          <cell r="F175">
            <v>14423</v>
          </cell>
          <cell r="G175">
            <v>14426</v>
          </cell>
          <cell r="H175">
            <v>1</v>
          </cell>
          <cell r="I175">
            <v>3</v>
          </cell>
          <cell r="J175">
            <v>2.8499999999999996</v>
          </cell>
        </row>
        <row r="176">
          <cell r="D176" t="str">
            <v/>
          </cell>
          <cell r="E176" t="str">
            <v/>
          </cell>
          <cell r="F176" t="str">
            <v/>
          </cell>
        </row>
        <row r="177">
          <cell r="C177" t="str">
            <v>RD3084</v>
          </cell>
          <cell r="D177" t="str">
            <v>Cat 777 D</v>
          </cell>
          <cell r="E177">
            <v>10738.800000000001</v>
          </cell>
          <cell r="F177">
            <v>10740.9</v>
          </cell>
          <cell r="G177">
            <v>10744.7</v>
          </cell>
          <cell r="H177">
            <v>2.0999999999985448</v>
          </cell>
          <cell r="I177">
            <v>3.8000000000010914</v>
          </cell>
          <cell r="J177">
            <v>3.6100000000010368</v>
          </cell>
        </row>
        <row r="178">
          <cell r="C178" t="str">
            <v>RD3085</v>
          </cell>
          <cell r="D178" t="str">
            <v>Cat 777 D</v>
          </cell>
          <cell r="E178">
            <v>8479.6</v>
          </cell>
          <cell r="F178">
            <v>8479.6</v>
          </cell>
          <cell r="G178">
            <v>8483.5</v>
          </cell>
          <cell r="H178">
            <v>0</v>
          </cell>
          <cell r="I178">
            <v>3.8999999999996362</v>
          </cell>
          <cell r="J178">
            <v>3.7049999999996541</v>
          </cell>
        </row>
        <row r="179">
          <cell r="D179" t="str">
            <v/>
          </cell>
          <cell r="E179" t="str">
            <v/>
          </cell>
          <cell r="F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</row>
        <row r="181">
          <cell r="D181" t="str">
            <v/>
          </cell>
          <cell r="E181" t="str">
            <v/>
          </cell>
        </row>
        <row r="182">
          <cell r="D182" t="str">
            <v/>
          </cell>
          <cell r="E182" t="str">
            <v/>
          </cell>
        </row>
        <row r="185">
          <cell r="G185" t="str">
            <v>Exc</v>
          </cell>
          <cell r="H185" t="str">
            <v>Haul Dist</v>
          </cell>
          <cell r="I185" t="str">
            <v>CAT</v>
          </cell>
        </row>
        <row r="186">
          <cell r="I186" t="str">
            <v>777 Coal Body</v>
          </cell>
        </row>
        <row r="187">
          <cell r="G187" t="str">
            <v>Exc8251</v>
          </cell>
          <cell r="H187" t="str">
            <v>450 M</v>
          </cell>
        </row>
        <row r="211">
          <cell r="F211" t="str">
            <v>WORKGROUP</v>
          </cell>
        </row>
        <row r="212">
          <cell r="F212" t="str">
            <v>COST CODE</v>
          </cell>
        </row>
        <row r="213">
          <cell r="C213" t="str">
            <v>EQUIPMENT</v>
          </cell>
          <cell r="E213" t="str">
            <v>SMU</v>
          </cell>
        </row>
        <row r="214">
          <cell r="C214" t="str">
            <v>NUMBER</v>
          </cell>
          <cell r="D214" t="str">
            <v>TYPE</v>
          </cell>
          <cell r="E214" t="str">
            <v>SBLM</v>
          </cell>
          <cell r="F214" t="str">
            <v>AWAL</v>
          </cell>
          <cell r="G214" t="str">
            <v>AKHIR</v>
          </cell>
          <cell r="H214" t="str">
            <v>diff</v>
          </cell>
          <cell r="I214" t="str">
            <v>TOTAL</v>
          </cell>
          <cell r="J214" t="str">
            <v>AKTUAL</v>
          </cell>
        </row>
        <row r="215">
          <cell r="C215" t="str">
            <v>EX3032</v>
          </cell>
          <cell r="D215" t="str">
            <v>Komatsu PC 800</v>
          </cell>
          <cell r="E215">
            <v>11572</v>
          </cell>
          <cell r="F215">
            <v>11572</v>
          </cell>
          <cell r="G215">
            <v>11575</v>
          </cell>
          <cell r="H215">
            <v>0</v>
          </cell>
          <cell r="I215">
            <v>3</v>
          </cell>
          <cell r="J215">
            <v>2.8499999999999996</v>
          </cell>
        </row>
        <row r="216">
          <cell r="D216" t="str">
            <v/>
          </cell>
          <cell r="E216" t="str">
            <v/>
          </cell>
          <cell r="F216" t="str">
            <v/>
          </cell>
        </row>
        <row r="217">
          <cell r="C217" t="str">
            <v>RD3060</v>
          </cell>
          <cell r="D217" t="str">
            <v>Kom HD 785</v>
          </cell>
          <cell r="E217">
            <v>14474</v>
          </cell>
          <cell r="F217">
            <v>14474</v>
          </cell>
          <cell r="G217">
            <v>14477</v>
          </cell>
          <cell r="H217">
            <v>0</v>
          </cell>
          <cell r="I217">
            <v>3</v>
          </cell>
          <cell r="J217">
            <v>2.8499999999999996</v>
          </cell>
        </row>
        <row r="218">
          <cell r="C218" t="str">
            <v>RD3061</v>
          </cell>
          <cell r="D218" t="str">
            <v>Kom HD 785</v>
          </cell>
          <cell r="E218">
            <v>14198</v>
          </cell>
          <cell r="F218">
            <v>14198</v>
          </cell>
          <cell r="G218">
            <v>14201</v>
          </cell>
          <cell r="H218">
            <v>0</v>
          </cell>
          <cell r="I218">
            <v>3</v>
          </cell>
          <cell r="J218">
            <v>2.8499999999999996</v>
          </cell>
        </row>
        <row r="219">
          <cell r="D219" t="str">
            <v/>
          </cell>
          <cell r="E219" t="str">
            <v/>
          </cell>
          <cell r="F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</row>
        <row r="221">
          <cell r="D221" t="str">
            <v/>
          </cell>
          <cell r="E221" t="str">
            <v/>
          </cell>
        </row>
        <row r="224">
          <cell r="G224" t="str">
            <v>Exc</v>
          </cell>
          <cell r="H224" t="str">
            <v>Haul Dist</v>
          </cell>
          <cell r="I224" t="str">
            <v>CAT</v>
          </cell>
        </row>
        <row r="225">
          <cell r="I225" t="str">
            <v>777 Coal Body</v>
          </cell>
        </row>
        <row r="226">
          <cell r="G226" t="str">
            <v>Exc3032</v>
          </cell>
          <cell r="H226" t="str">
            <v>1000 M</v>
          </cell>
        </row>
        <row r="228">
          <cell r="G228" t="str">
            <v>Exc3032</v>
          </cell>
          <cell r="H228" t="str">
            <v>1000 M</v>
          </cell>
        </row>
        <row r="249">
          <cell r="J249" t="str">
            <v>MINING ANTAREJA</v>
          </cell>
        </row>
        <row r="250">
          <cell r="G250" t="str">
            <v xml:space="preserve">DAY: </v>
          </cell>
          <cell r="H250">
            <v>39164</v>
          </cell>
        </row>
        <row r="253">
          <cell r="E253" t="str">
            <v>SMU</v>
          </cell>
        </row>
        <row r="254">
          <cell r="E254" t="str">
            <v>SHIFT</v>
          </cell>
        </row>
        <row r="255">
          <cell r="C255" t="str">
            <v>UNIT No.</v>
          </cell>
          <cell r="D255" t="str">
            <v>TYPE</v>
          </cell>
          <cell r="E255" t="str">
            <v>SBLM</v>
          </cell>
          <cell r="F255" t="str">
            <v>AWAL</v>
          </cell>
          <cell r="G255" t="str">
            <v>AKHIR</v>
          </cell>
          <cell r="H255" t="str">
            <v>diff</v>
          </cell>
          <cell r="I255" t="str">
            <v>TOTAL</v>
          </cell>
          <cell r="J255" t="str">
            <v>AKTUAL</v>
          </cell>
        </row>
        <row r="256">
          <cell r="C256" t="str">
            <v>EX3085</v>
          </cell>
          <cell r="D256" t="str">
            <v>Hitachi 330</v>
          </cell>
          <cell r="E256">
            <v>7422</v>
          </cell>
          <cell r="F256">
            <v>7422</v>
          </cell>
          <cell r="G256">
            <v>7429.1</v>
          </cell>
          <cell r="H256">
            <v>0</v>
          </cell>
          <cell r="I256">
            <v>7.1000000000003638</v>
          </cell>
          <cell r="J256">
            <v>6.7450000000003456</v>
          </cell>
        </row>
        <row r="257">
          <cell r="C257" t="str">
            <v>EX3109</v>
          </cell>
          <cell r="D257" t="str">
            <v>Cat-330 D</v>
          </cell>
          <cell r="E257">
            <v>364.6</v>
          </cell>
          <cell r="F257">
            <v>364.6</v>
          </cell>
          <cell r="G257">
            <v>370.1</v>
          </cell>
          <cell r="H257">
            <v>0</v>
          </cell>
          <cell r="I257">
            <v>5.5</v>
          </cell>
          <cell r="J257">
            <v>5.2249999999999996</v>
          </cell>
        </row>
        <row r="258">
          <cell r="C258" t="str">
            <v>EX3110</v>
          </cell>
          <cell r="D258" t="str">
            <v>Cat-330 D</v>
          </cell>
          <cell r="E258">
            <v>401.6</v>
          </cell>
          <cell r="F258">
            <v>401.6</v>
          </cell>
          <cell r="G258">
            <v>403.2</v>
          </cell>
          <cell r="H258">
            <v>0</v>
          </cell>
          <cell r="I258">
            <v>1.5999999999999659</v>
          </cell>
          <cell r="J258">
            <v>1.5199999999999676</v>
          </cell>
        </row>
        <row r="259">
          <cell r="D259" t="str">
            <v/>
          </cell>
          <cell r="E259" t="str">
            <v/>
          </cell>
          <cell r="F259" t="str">
            <v/>
          </cell>
        </row>
        <row r="260">
          <cell r="C260" t="str">
            <v>DZ3096</v>
          </cell>
          <cell r="D260" t="str">
            <v>Cat D 10</v>
          </cell>
          <cell r="E260">
            <v>5064.8999999999996</v>
          </cell>
          <cell r="F260">
            <v>5064.8999999999996</v>
          </cell>
          <cell r="G260">
            <v>5072.3</v>
          </cell>
          <cell r="H260">
            <v>0</v>
          </cell>
          <cell r="I260">
            <v>7.4000000000005457</v>
          </cell>
          <cell r="J260">
            <v>7.0300000000005181</v>
          </cell>
        </row>
        <row r="261">
          <cell r="C261" t="str">
            <v>DZ3095</v>
          </cell>
          <cell r="D261" t="str">
            <v>Cat D 10</v>
          </cell>
          <cell r="E261">
            <v>5122.1000000000004</v>
          </cell>
          <cell r="F261">
            <v>5122.1000000000004</v>
          </cell>
          <cell r="G261">
            <v>5128.7</v>
          </cell>
          <cell r="H261">
            <v>0</v>
          </cell>
          <cell r="I261">
            <v>6.5999999999994543</v>
          </cell>
          <cell r="J261">
            <v>6.2699999999994809</v>
          </cell>
        </row>
        <row r="262">
          <cell r="C262" t="str">
            <v>DZ3036</v>
          </cell>
          <cell r="D262" t="str">
            <v>Cat D 10</v>
          </cell>
          <cell r="E262">
            <v>9531</v>
          </cell>
          <cell r="F262">
            <v>9531</v>
          </cell>
          <cell r="G262">
            <v>9537</v>
          </cell>
          <cell r="H262">
            <v>0</v>
          </cell>
          <cell r="I262">
            <v>6</v>
          </cell>
          <cell r="J262">
            <v>5.6999999999999993</v>
          </cell>
        </row>
        <row r="263">
          <cell r="C263" t="str">
            <v>DZ3034</v>
          </cell>
          <cell r="D263" t="str">
            <v>Cat D 10</v>
          </cell>
          <cell r="E263">
            <v>10353</v>
          </cell>
          <cell r="F263">
            <v>10353</v>
          </cell>
          <cell r="G263">
            <v>10357</v>
          </cell>
          <cell r="H263">
            <v>0</v>
          </cell>
          <cell r="I263">
            <v>4</v>
          </cell>
          <cell r="J263">
            <v>3.8</v>
          </cell>
        </row>
        <row r="264">
          <cell r="C264" t="str">
            <v>DZ3066</v>
          </cell>
          <cell r="D264" t="str">
            <v>D 65 SS</v>
          </cell>
          <cell r="E264">
            <v>8024</v>
          </cell>
          <cell r="F264">
            <v>8024</v>
          </cell>
          <cell r="G264">
            <v>8027.3</v>
          </cell>
          <cell r="H264">
            <v>0</v>
          </cell>
          <cell r="I264">
            <v>3.3000000000001819</v>
          </cell>
          <cell r="J264">
            <v>3.1350000000001725</v>
          </cell>
        </row>
        <row r="265">
          <cell r="C265" t="str">
            <v>DZ3020</v>
          </cell>
          <cell r="D265" t="str">
            <v>D 85 SS</v>
          </cell>
          <cell r="E265">
            <v>382.5</v>
          </cell>
          <cell r="F265">
            <v>382.5</v>
          </cell>
          <cell r="G265">
            <v>384.5</v>
          </cell>
          <cell r="H265">
            <v>0</v>
          </cell>
          <cell r="I265">
            <v>2</v>
          </cell>
          <cell r="J265">
            <v>1.9</v>
          </cell>
        </row>
        <row r="266">
          <cell r="C266" t="str">
            <v>DZ3085</v>
          </cell>
          <cell r="D266" t="str">
            <v>D 7 G</v>
          </cell>
          <cell r="E266">
            <v>5359.7</v>
          </cell>
          <cell r="F266">
            <v>5359.7</v>
          </cell>
          <cell r="G266">
            <v>5364.9</v>
          </cell>
          <cell r="H266">
            <v>0</v>
          </cell>
          <cell r="I266">
            <v>5.1999999999998181</v>
          </cell>
          <cell r="J266">
            <v>4.9399999999998272</v>
          </cell>
        </row>
        <row r="267">
          <cell r="D267" t="str">
            <v/>
          </cell>
          <cell r="E267" t="str">
            <v/>
          </cell>
          <cell r="F267" t="str">
            <v/>
          </cell>
        </row>
        <row r="268">
          <cell r="C268" t="str">
            <v>GR3019</v>
          </cell>
          <cell r="D268" t="str">
            <v xml:space="preserve"> Cat 24 H</v>
          </cell>
          <cell r="E268">
            <v>5070.7</v>
          </cell>
          <cell r="F268">
            <v>5070.7</v>
          </cell>
          <cell r="G268">
            <v>5075.8</v>
          </cell>
          <cell r="H268">
            <v>0</v>
          </cell>
          <cell r="I268">
            <v>5.1000000000003638</v>
          </cell>
          <cell r="J268">
            <v>4.8450000000003453</v>
          </cell>
        </row>
        <row r="269">
          <cell r="C269" t="str">
            <v>GR8231</v>
          </cell>
          <cell r="D269" t="str">
            <v xml:space="preserve"> Cat 16 H</v>
          </cell>
          <cell r="E269">
            <v>23105.5</v>
          </cell>
          <cell r="F269">
            <v>23105.5</v>
          </cell>
          <cell r="G269">
            <v>23108.6</v>
          </cell>
          <cell r="H269">
            <v>0</v>
          </cell>
          <cell r="I269">
            <v>3.0999999999985448</v>
          </cell>
          <cell r="J269">
            <v>2.9449999999986174</v>
          </cell>
        </row>
        <row r="270">
          <cell r="C270" t="str">
            <v>GR3006</v>
          </cell>
          <cell r="D270" t="str">
            <v xml:space="preserve"> Cat 16 H</v>
          </cell>
          <cell r="E270">
            <v>11681.7</v>
          </cell>
          <cell r="F270">
            <v>11681.7</v>
          </cell>
          <cell r="G270">
            <v>11686.5</v>
          </cell>
          <cell r="H270">
            <v>0</v>
          </cell>
          <cell r="I270">
            <v>4.7999999999992724</v>
          </cell>
          <cell r="J270">
            <v>4.5599999999993086</v>
          </cell>
        </row>
        <row r="271">
          <cell r="D271" t="str">
            <v/>
          </cell>
          <cell r="E271" t="str">
            <v/>
          </cell>
          <cell r="F271" t="str">
            <v/>
          </cell>
        </row>
        <row r="272">
          <cell r="C272" t="str">
            <v>VT3040</v>
          </cell>
          <cell r="D272" t="str">
            <v>Manhaul</v>
          </cell>
          <cell r="E272">
            <v>3462.8</v>
          </cell>
          <cell r="F272">
            <v>3462.8</v>
          </cell>
          <cell r="G272">
            <v>3468.7</v>
          </cell>
          <cell r="H272">
            <v>0</v>
          </cell>
          <cell r="I272">
            <v>5.8999999999996362</v>
          </cell>
          <cell r="J272">
            <v>5.604999999999654</v>
          </cell>
        </row>
        <row r="273">
          <cell r="D273" t="str">
            <v/>
          </cell>
          <cell r="E273" t="str">
            <v/>
          </cell>
          <cell r="F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</row>
        <row r="275">
          <cell r="D275" t="str">
            <v/>
          </cell>
          <cell r="E275" t="str">
            <v/>
          </cell>
        </row>
        <row r="277">
          <cell r="H277" t="str">
            <v>CATATAN:</v>
          </cell>
        </row>
        <row r="286">
          <cell r="C286" t="str">
            <v>(SMNT,UMNT,TGET)</v>
          </cell>
        </row>
        <row r="291">
          <cell r="G291" t="str">
            <v xml:space="preserve">DAY: </v>
          </cell>
          <cell r="H291">
            <v>0</v>
          </cell>
        </row>
        <row r="294">
          <cell r="E294" t="str">
            <v>SMU</v>
          </cell>
        </row>
        <row r="295">
          <cell r="E295" t="str">
            <v>SHIFT</v>
          </cell>
        </row>
        <row r="296">
          <cell r="C296" t="str">
            <v>UNIT No.</v>
          </cell>
          <cell r="D296" t="str">
            <v>TYPE</v>
          </cell>
          <cell r="E296" t="str">
            <v>SBLM</v>
          </cell>
          <cell r="F296" t="str">
            <v>AWAL</v>
          </cell>
          <cell r="G296" t="str">
            <v>AKHIR</v>
          </cell>
          <cell r="H296" t="str">
            <v>diff</v>
          </cell>
          <cell r="I296" t="str">
            <v>TOTAL</v>
          </cell>
          <cell r="J296" t="str">
            <v>AKTUAL</v>
          </cell>
        </row>
        <row r="297">
          <cell r="C297" t="str">
            <v>EX7627</v>
          </cell>
          <cell r="D297" t="str">
            <v>994 Exc</v>
          </cell>
          <cell r="E297">
            <v>1153</v>
          </cell>
          <cell r="F297">
            <v>1153</v>
          </cell>
          <cell r="G297">
            <v>1153</v>
          </cell>
          <cell r="H297">
            <v>0</v>
          </cell>
          <cell r="I297">
            <v>0</v>
          </cell>
          <cell r="J297">
            <v>0</v>
          </cell>
        </row>
        <row r="298">
          <cell r="C298" t="str">
            <v>RD7875</v>
          </cell>
          <cell r="D298" t="str">
            <v>Cat 785</v>
          </cell>
          <cell r="E298">
            <v>25896.3</v>
          </cell>
          <cell r="F298">
            <v>25896.3</v>
          </cell>
          <cell r="G298">
            <v>25896.3</v>
          </cell>
          <cell r="H298">
            <v>0</v>
          </cell>
          <cell r="I298">
            <v>0</v>
          </cell>
          <cell r="J298">
            <v>0</v>
          </cell>
        </row>
        <row r="299">
          <cell r="C299" t="str">
            <v>RD7511</v>
          </cell>
          <cell r="D299" t="str">
            <v>Cat 785</v>
          </cell>
          <cell r="E299">
            <v>7781.5</v>
          </cell>
          <cell r="F299">
            <v>7781.5</v>
          </cell>
          <cell r="G299">
            <v>7781.5</v>
          </cell>
          <cell r="H299">
            <v>0</v>
          </cell>
          <cell r="I299">
            <v>0</v>
          </cell>
          <cell r="J299">
            <v>0</v>
          </cell>
        </row>
        <row r="300">
          <cell r="C300" t="str">
            <v>RD3246</v>
          </cell>
          <cell r="D300" t="str">
            <v>Cat 785</v>
          </cell>
          <cell r="E300">
            <v>27.7</v>
          </cell>
          <cell r="F300">
            <v>27.7</v>
          </cell>
          <cell r="G300">
            <v>27.7</v>
          </cell>
          <cell r="H300">
            <v>0</v>
          </cell>
          <cell r="I300">
            <v>0</v>
          </cell>
          <cell r="J300">
            <v>0</v>
          </cell>
        </row>
        <row r="301">
          <cell r="C301" t="str">
            <v>DZ3097</v>
          </cell>
          <cell r="D301" t="str">
            <v>Cat D 10</v>
          </cell>
          <cell r="E301">
            <v>4983.7</v>
          </cell>
          <cell r="F301">
            <v>4983.7</v>
          </cell>
          <cell r="G301">
            <v>4983.7</v>
          </cell>
          <cell r="H301">
            <v>0</v>
          </cell>
          <cell r="I301">
            <v>0</v>
          </cell>
          <cell r="J301">
            <v>0</v>
          </cell>
        </row>
        <row r="302">
          <cell r="C302" t="str">
            <v>DZ3037</v>
          </cell>
          <cell r="D302" t="str">
            <v>Cat D 10</v>
          </cell>
          <cell r="E302">
            <v>10024</v>
          </cell>
          <cell r="F302">
            <v>10024</v>
          </cell>
          <cell r="G302">
            <v>10024</v>
          </cell>
          <cell r="H302">
            <v>0</v>
          </cell>
          <cell r="I302">
            <v>0</v>
          </cell>
          <cell r="J302">
            <v>0</v>
          </cell>
        </row>
        <row r="303">
          <cell r="C303" t="str">
            <v>EX3011</v>
          </cell>
          <cell r="D303" t="str">
            <v>Hitachi 3600</v>
          </cell>
          <cell r="E303">
            <v>13924.5</v>
          </cell>
          <cell r="F303">
            <v>13924.5</v>
          </cell>
          <cell r="G303">
            <v>13924.5</v>
          </cell>
          <cell r="H303">
            <v>0</v>
          </cell>
          <cell r="I303">
            <v>0</v>
          </cell>
          <cell r="J303">
            <v>0</v>
          </cell>
        </row>
        <row r="304">
          <cell r="C304" t="str">
            <v>EX3080</v>
          </cell>
          <cell r="D304" t="str">
            <v>Komatsu PC 1250</v>
          </cell>
          <cell r="E304">
            <v>10053</v>
          </cell>
          <cell r="F304">
            <v>10053</v>
          </cell>
          <cell r="G304">
            <v>10053</v>
          </cell>
          <cell r="H304">
            <v>0</v>
          </cell>
          <cell r="I304">
            <v>0</v>
          </cell>
          <cell r="J304">
            <v>0</v>
          </cell>
        </row>
        <row r="305">
          <cell r="C305" t="str">
            <v>RD3056</v>
          </cell>
          <cell r="D305" t="str">
            <v>Kom HD 785</v>
          </cell>
          <cell r="E305">
            <v>14166</v>
          </cell>
          <cell r="F305">
            <v>14166</v>
          </cell>
          <cell r="G305">
            <v>14166</v>
          </cell>
          <cell r="H305">
            <v>0</v>
          </cell>
          <cell r="I305">
            <v>0</v>
          </cell>
          <cell r="J305">
            <v>0</v>
          </cell>
        </row>
        <row r="306">
          <cell r="C306" t="str">
            <v>RD7509</v>
          </cell>
          <cell r="D306" t="str">
            <v>Cat 785</v>
          </cell>
          <cell r="E306">
            <v>43097.7</v>
          </cell>
          <cell r="F306">
            <v>43097.7</v>
          </cell>
          <cell r="G306">
            <v>43097.7</v>
          </cell>
          <cell r="H306">
            <v>0</v>
          </cell>
          <cell r="I306">
            <v>0</v>
          </cell>
          <cell r="J306">
            <v>0</v>
          </cell>
        </row>
        <row r="307">
          <cell r="C307" t="str">
            <v>RD7922</v>
          </cell>
          <cell r="D307" t="str">
            <v>Cat 785</v>
          </cell>
          <cell r="E307">
            <v>27591.5</v>
          </cell>
          <cell r="F307">
            <v>27591.5</v>
          </cell>
          <cell r="G307">
            <v>27591.5</v>
          </cell>
          <cell r="H307">
            <v>0</v>
          </cell>
          <cell r="I307">
            <v>0</v>
          </cell>
          <cell r="J307">
            <v>0</v>
          </cell>
        </row>
        <row r="308">
          <cell r="C308" t="str">
            <v>RD7500</v>
          </cell>
          <cell r="D308" t="str">
            <v>Cat 785</v>
          </cell>
          <cell r="E308">
            <v>36863.300000000003</v>
          </cell>
          <cell r="F308">
            <v>36863.300000000003</v>
          </cell>
          <cell r="G308">
            <v>36863.300000000003</v>
          </cell>
          <cell r="H308">
            <v>0</v>
          </cell>
          <cell r="I308">
            <v>0</v>
          </cell>
          <cell r="J308">
            <v>0</v>
          </cell>
        </row>
        <row r="309">
          <cell r="C309" t="str">
            <v>WT3155</v>
          </cell>
          <cell r="D309" t="str">
            <v>773 E</v>
          </cell>
          <cell r="E309">
            <v>8316.2000000000007</v>
          </cell>
          <cell r="F309">
            <v>8316.2000000000007</v>
          </cell>
          <cell r="G309">
            <v>8316.2000000000007</v>
          </cell>
          <cell r="H309">
            <v>0</v>
          </cell>
          <cell r="I309">
            <v>0</v>
          </cell>
          <cell r="J309">
            <v>0</v>
          </cell>
        </row>
        <row r="310">
          <cell r="C310" t="str">
            <v>RD7594</v>
          </cell>
          <cell r="D310" t="str">
            <v>Cat 777 D Cam</v>
          </cell>
          <cell r="E310">
            <v>19961.5</v>
          </cell>
          <cell r="F310">
            <v>19961.5</v>
          </cell>
          <cell r="G310">
            <v>19961.5</v>
          </cell>
          <cell r="H310">
            <v>0</v>
          </cell>
          <cell r="I310">
            <v>0</v>
          </cell>
          <cell r="J31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>
        <row r="11">
          <cell r="C11" t="str">
            <v>EX3044</v>
          </cell>
        </row>
      </sheetData>
      <sheetData sheetId="19">
        <row r="11">
          <cell r="C11" t="str">
            <v>EX3044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PUT"/>
      <sheetName val="RESULT"/>
      <sheetName val="Rekonsel"/>
      <sheetName val="Advance Payment"/>
      <sheetName val="Invoice Payment"/>
      <sheetName val="Cash on hand"/>
      <sheetName val="Advance_Payment"/>
      <sheetName val="Invoice_Payment"/>
      <sheetName val="Cash_on_hand"/>
      <sheetName val="23 Day"/>
      <sheetName val="23 Night"/>
      <sheetName val="Summary_Monthly"/>
    </sheetNames>
    <sheetDataSet>
      <sheetData sheetId="0" refreshError="1">
        <row r="4">
          <cell r="B4" t="str">
            <v>Balance</v>
          </cell>
        </row>
        <row r="5">
          <cell r="B5" t="str">
            <v>Bank charges</v>
          </cell>
        </row>
        <row r="6">
          <cell r="B6" t="str">
            <v>C of S other</v>
          </cell>
        </row>
        <row r="7">
          <cell r="B7" t="str">
            <v>Charge to PTTU</v>
          </cell>
        </row>
        <row r="8">
          <cell r="B8" t="str">
            <v>Charge to TMT</v>
          </cell>
        </row>
        <row r="9">
          <cell r="B9" t="str">
            <v>Comp Chg</v>
          </cell>
        </row>
        <row r="10">
          <cell r="B10" t="str">
            <v>Credit / Out**</v>
          </cell>
        </row>
        <row r="11">
          <cell r="B11" t="str">
            <v>Debit / In</v>
          </cell>
        </row>
        <row r="12">
          <cell r="B12" t="str">
            <v>Donation</v>
          </cell>
        </row>
        <row r="13">
          <cell r="B13" t="str">
            <v>Drink</v>
          </cell>
        </row>
        <row r="14">
          <cell r="B14" t="str">
            <v>Employee Training</v>
          </cell>
        </row>
        <row r="15">
          <cell r="B15" t="str">
            <v>Entertaiment</v>
          </cell>
        </row>
        <row r="16">
          <cell r="B16" t="str">
            <v>Facility Electric</v>
          </cell>
        </row>
        <row r="17">
          <cell r="B17" t="str">
            <v>Facility Water</v>
          </cell>
        </row>
        <row r="18">
          <cell r="B18" t="str">
            <v>Grease</v>
          </cell>
        </row>
        <row r="19">
          <cell r="B19" t="str">
            <v>House Rent</v>
          </cell>
        </row>
        <row r="20">
          <cell r="B20" t="str">
            <v>Int. income</v>
          </cell>
        </row>
        <row r="21">
          <cell r="B21" t="str">
            <v>Legal Advice</v>
          </cell>
        </row>
        <row r="22">
          <cell r="B22" t="str">
            <v>Mail</v>
          </cell>
        </row>
        <row r="23">
          <cell r="B23" t="str">
            <v>Medical</v>
          </cell>
        </row>
        <row r="24">
          <cell r="B24" t="str">
            <v>Oil Consum</v>
          </cell>
        </row>
        <row r="25">
          <cell r="B25" t="str">
            <v>Other Charges</v>
          </cell>
        </row>
        <row r="26">
          <cell r="B26" t="str">
            <v>Other Overhead</v>
          </cell>
        </row>
        <row r="27">
          <cell r="B27" t="str">
            <v>Other PRE</v>
          </cell>
        </row>
        <row r="28">
          <cell r="B28" t="str">
            <v>Others licensi</v>
          </cell>
        </row>
        <row r="29">
          <cell r="B29" t="str">
            <v>Part Misc</v>
          </cell>
        </row>
        <row r="30">
          <cell r="B30" t="str">
            <v>Parts Deli</v>
          </cell>
        </row>
        <row r="31">
          <cell r="B31" t="str">
            <v>Parts Delivery</v>
          </cell>
        </row>
        <row r="32">
          <cell r="B32" t="str">
            <v>Parts Misc</v>
          </cell>
        </row>
        <row r="33">
          <cell r="B33" t="str">
            <v>Petrol</v>
          </cell>
        </row>
        <row r="34">
          <cell r="B34" t="str">
            <v>Phone</v>
          </cell>
        </row>
        <row r="35">
          <cell r="B35" t="str">
            <v>R&amp;M Veh</v>
          </cell>
        </row>
        <row r="36">
          <cell r="B36" t="str">
            <v>Recruit</v>
          </cell>
        </row>
        <row r="37">
          <cell r="B37" t="str">
            <v>Rep Facility</v>
          </cell>
        </row>
        <row r="38">
          <cell r="B38" t="str">
            <v>Salary Payable</v>
          </cell>
        </row>
        <row r="39">
          <cell r="B39" t="str">
            <v>Small Equip</v>
          </cell>
        </row>
        <row r="40">
          <cell r="B40" t="str">
            <v>Small Tool</v>
          </cell>
        </row>
        <row r="41">
          <cell r="B41" t="str">
            <v>Staff Loan</v>
          </cell>
        </row>
        <row r="42">
          <cell r="B42" t="str">
            <v>Stationery</v>
          </cell>
        </row>
        <row r="43">
          <cell r="B43" t="str">
            <v>Suplies int Use</v>
          </cell>
        </row>
        <row r="44">
          <cell r="B44" t="str">
            <v>Training</v>
          </cell>
        </row>
        <row r="45">
          <cell r="B45" t="str">
            <v>Travel Exp</v>
          </cell>
        </row>
        <row r="46">
          <cell r="B46" t="str">
            <v>Truck Expnse</v>
          </cell>
        </row>
        <row r="47">
          <cell r="B47" t="str">
            <v>Vehicle Charge</v>
          </cell>
        </row>
        <row r="48">
          <cell r="B48" t="str">
            <v>Workoutfit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II-i_Yearly"/>
      <sheetName val="Summary_Yearly"/>
      <sheetName val="Summary_Monthly"/>
      <sheetName val="SummaryALL"/>
      <sheetName val="Daily"/>
      <sheetName val="General"/>
    </sheetNames>
    <sheetDataSet>
      <sheetData sheetId="0" refreshError="1"/>
      <sheetData sheetId="1" refreshError="1"/>
      <sheetData sheetId="2" refreshError="1">
        <row r="10">
          <cell r="Y10">
            <v>35431</v>
          </cell>
          <cell r="Z10">
            <v>199701000</v>
          </cell>
        </row>
        <row r="11">
          <cell r="Y11">
            <v>35462</v>
          </cell>
          <cell r="Z11">
            <v>199702000</v>
          </cell>
        </row>
        <row r="12">
          <cell r="Y12">
            <v>35490</v>
          </cell>
          <cell r="Z12">
            <v>199703000</v>
          </cell>
        </row>
        <row r="13">
          <cell r="Y13">
            <v>35521</v>
          </cell>
          <cell r="Z13">
            <v>199704000</v>
          </cell>
        </row>
        <row r="14">
          <cell r="Y14">
            <v>35551</v>
          </cell>
          <cell r="Z14">
            <v>199705000</v>
          </cell>
        </row>
        <row r="15">
          <cell r="Y15">
            <v>35582</v>
          </cell>
          <cell r="Z15">
            <v>199706000</v>
          </cell>
        </row>
        <row r="16">
          <cell r="Y16">
            <v>35612</v>
          </cell>
          <cell r="Z16">
            <v>199707000</v>
          </cell>
        </row>
        <row r="17">
          <cell r="Y17">
            <v>35643</v>
          </cell>
          <cell r="Z17">
            <v>199708000</v>
          </cell>
        </row>
        <row r="18">
          <cell r="Y18">
            <v>35674</v>
          </cell>
          <cell r="Z18">
            <v>199709000</v>
          </cell>
        </row>
        <row r="19">
          <cell r="Y19">
            <v>35704</v>
          </cell>
          <cell r="Z19">
            <v>199710000</v>
          </cell>
        </row>
        <row r="20">
          <cell r="Y20">
            <v>35735</v>
          </cell>
          <cell r="Z20">
            <v>199711000</v>
          </cell>
        </row>
        <row r="21">
          <cell r="Y21">
            <v>35765</v>
          </cell>
          <cell r="Z21">
            <v>199712000</v>
          </cell>
        </row>
        <row r="22">
          <cell r="Y22">
            <v>35796</v>
          </cell>
          <cell r="Z22">
            <v>199801000</v>
          </cell>
        </row>
        <row r="23">
          <cell r="Y23">
            <v>35827</v>
          </cell>
          <cell r="Z23">
            <v>199802000</v>
          </cell>
        </row>
        <row r="24">
          <cell r="Y24">
            <v>35855</v>
          </cell>
          <cell r="Z24">
            <v>199803000</v>
          </cell>
        </row>
        <row r="25">
          <cell r="Y25">
            <v>35886</v>
          </cell>
          <cell r="Z25">
            <v>199804000</v>
          </cell>
        </row>
        <row r="26">
          <cell r="Y26">
            <v>35916</v>
          </cell>
          <cell r="Z26">
            <v>199805000</v>
          </cell>
        </row>
        <row r="27">
          <cell r="Y27">
            <v>35947</v>
          </cell>
          <cell r="Z27">
            <v>199806000</v>
          </cell>
        </row>
        <row r="28">
          <cell r="Y28">
            <v>35977</v>
          </cell>
          <cell r="Z28">
            <v>199807000</v>
          </cell>
        </row>
        <row r="29">
          <cell r="Y29">
            <v>36008</v>
          </cell>
          <cell r="Z29">
            <v>199808000</v>
          </cell>
        </row>
        <row r="30">
          <cell r="Y30">
            <v>36039</v>
          </cell>
          <cell r="Z30">
            <v>199809000</v>
          </cell>
        </row>
        <row r="31">
          <cell r="Y31">
            <v>36069</v>
          </cell>
          <cell r="Z31">
            <v>199810000</v>
          </cell>
        </row>
        <row r="32">
          <cell r="Y32">
            <v>36100</v>
          </cell>
          <cell r="Z32">
            <v>199811000</v>
          </cell>
        </row>
        <row r="33">
          <cell r="Y33">
            <v>36130</v>
          </cell>
          <cell r="Z33">
            <v>199812000</v>
          </cell>
        </row>
        <row r="34">
          <cell r="Y34">
            <v>36161</v>
          </cell>
          <cell r="Z34">
            <v>199901000</v>
          </cell>
        </row>
        <row r="35">
          <cell r="Y35">
            <v>36192</v>
          </cell>
          <cell r="Z35">
            <v>199902000</v>
          </cell>
        </row>
        <row r="36">
          <cell r="Y36">
            <v>36220</v>
          </cell>
          <cell r="Z36">
            <v>199903000</v>
          </cell>
        </row>
        <row r="37">
          <cell r="Y37">
            <v>36251</v>
          </cell>
          <cell r="Z37">
            <v>199904000</v>
          </cell>
        </row>
        <row r="38">
          <cell r="Y38">
            <v>36281</v>
          </cell>
          <cell r="Z38">
            <v>199905000</v>
          </cell>
        </row>
        <row r="39">
          <cell r="Y39">
            <v>36312</v>
          </cell>
          <cell r="Z39">
            <v>199906000</v>
          </cell>
        </row>
        <row r="40">
          <cell r="Y40">
            <v>36342</v>
          </cell>
          <cell r="Z40">
            <v>199907000</v>
          </cell>
        </row>
        <row r="41">
          <cell r="Y41">
            <v>36373</v>
          </cell>
          <cell r="Z41">
            <v>199908000</v>
          </cell>
        </row>
        <row r="42">
          <cell r="Y42">
            <v>36404</v>
          </cell>
          <cell r="Z42">
            <v>199909000</v>
          </cell>
        </row>
        <row r="43">
          <cell r="Y43">
            <v>36434</v>
          </cell>
          <cell r="Z43">
            <v>199910000</v>
          </cell>
        </row>
        <row r="44">
          <cell r="Y44">
            <v>36465</v>
          </cell>
          <cell r="Z44">
            <v>199911000</v>
          </cell>
        </row>
        <row r="45">
          <cell r="Y45">
            <v>36495</v>
          </cell>
          <cell r="Z45">
            <v>199912000</v>
          </cell>
        </row>
        <row r="46">
          <cell r="Y46">
            <v>36526</v>
          </cell>
          <cell r="Z46">
            <v>200001000</v>
          </cell>
        </row>
        <row r="47">
          <cell r="Y47">
            <v>36557</v>
          </cell>
          <cell r="Z47">
            <v>200002000</v>
          </cell>
        </row>
        <row r="48">
          <cell r="Y48">
            <v>36586</v>
          </cell>
          <cell r="Z48">
            <v>200003000</v>
          </cell>
        </row>
        <row r="49">
          <cell r="Y49">
            <v>36617</v>
          </cell>
          <cell r="Z49">
            <v>200004000</v>
          </cell>
        </row>
        <row r="50">
          <cell r="Y50">
            <v>36647</v>
          </cell>
          <cell r="Z50">
            <v>200005000</v>
          </cell>
        </row>
        <row r="51">
          <cell r="Y51">
            <v>36678</v>
          </cell>
          <cell r="Z51">
            <v>200006000</v>
          </cell>
        </row>
        <row r="52">
          <cell r="Y52">
            <v>36708</v>
          </cell>
          <cell r="Z52">
            <v>200007000</v>
          </cell>
        </row>
        <row r="53">
          <cell r="Y53">
            <v>36739</v>
          </cell>
          <cell r="Z53">
            <v>200008000</v>
          </cell>
        </row>
        <row r="54">
          <cell r="Y54">
            <v>36770</v>
          </cell>
          <cell r="Z54">
            <v>200009000</v>
          </cell>
        </row>
        <row r="55">
          <cell r="Y55">
            <v>36800</v>
          </cell>
          <cell r="Z55">
            <v>200010000</v>
          </cell>
        </row>
        <row r="56">
          <cell r="Y56">
            <v>36831</v>
          </cell>
          <cell r="Z56">
            <v>200011000</v>
          </cell>
        </row>
        <row r="57">
          <cell r="Y57">
            <v>36861</v>
          </cell>
          <cell r="Z57">
            <v>200012000</v>
          </cell>
        </row>
        <row r="58">
          <cell r="Y58">
            <v>36892</v>
          </cell>
          <cell r="Z58">
            <v>200101000</v>
          </cell>
        </row>
        <row r="59">
          <cell r="Y59">
            <v>36923</v>
          </cell>
          <cell r="Z59">
            <v>200102000</v>
          </cell>
        </row>
        <row r="60">
          <cell r="Y60">
            <v>36951</v>
          </cell>
          <cell r="Z60">
            <v>200103000</v>
          </cell>
        </row>
        <row r="61">
          <cell r="Y61">
            <v>36982</v>
          </cell>
          <cell r="Z61">
            <v>200104000</v>
          </cell>
        </row>
        <row r="62">
          <cell r="Y62">
            <v>37012</v>
          </cell>
          <cell r="Z62">
            <v>200105000</v>
          </cell>
        </row>
        <row r="63">
          <cell r="Y63">
            <v>37043</v>
          </cell>
          <cell r="Z63">
            <v>200106000</v>
          </cell>
        </row>
        <row r="64">
          <cell r="Y64">
            <v>37073</v>
          </cell>
          <cell r="Z64">
            <v>200107000</v>
          </cell>
        </row>
        <row r="65">
          <cell r="Y65">
            <v>37104</v>
          </cell>
          <cell r="Z65">
            <v>200108000</v>
          </cell>
        </row>
        <row r="66">
          <cell r="Y66">
            <v>37135</v>
          </cell>
          <cell r="Z66">
            <v>200109000</v>
          </cell>
        </row>
        <row r="67">
          <cell r="Y67">
            <v>37165</v>
          </cell>
          <cell r="Z67">
            <v>200110000</v>
          </cell>
        </row>
        <row r="68">
          <cell r="Y68">
            <v>37196</v>
          </cell>
          <cell r="Z68">
            <v>200111000</v>
          </cell>
        </row>
        <row r="69">
          <cell r="Y69">
            <v>37226</v>
          </cell>
          <cell r="Z69">
            <v>200112000</v>
          </cell>
        </row>
        <row r="70">
          <cell r="Y70">
            <v>37257</v>
          </cell>
          <cell r="Z70">
            <v>200201000</v>
          </cell>
        </row>
        <row r="71">
          <cell r="Y71">
            <v>37288</v>
          </cell>
          <cell r="Z71">
            <v>200202000</v>
          </cell>
        </row>
        <row r="72">
          <cell r="Y72">
            <v>37316</v>
          </cell>
          <cell r="Z72">
            <v>200203000</v>
          </cell>
        </row>
        <row r="73">
          <cell r="Y73">
            <v>37347</v>
          </cell>
          <cell r="Z73">
            <v>200204000</v>
          </cell>
        </row>
        <row r="74">
          <cell r="Y74">
            <v>37377</v>
          </cell>
          <cell r="Z74">
            <v>200205000</v>
          </cell>
        </row>
        <row r="75">
          <cell r="Y75">
            <v>37408</v>
          </cell>
          <cell r="Z75">
            <v>200206000</v>
          </cell>
        </row>
        <row r="76">
          <cell r="Y76">
            <v>37438</v>
          </cell>
          <cell r="Z76">
            <v>200207000</v>
          </cell>
        </row>
        <row r="77">
          <cell r="Y77">
            <v>37469</v>
          </cell>
          <cell r="Z77">
            <v>200208000</v>
          </cell>
        </row>
        <row r="78">
          <cell r="Y78">
            <v>37500</v>
          </cell>
          <cell r="Z78">
            <v>200209000</v>
          </cell>
        </row>
        <row r="79">
          <cell r="Y79">
            <v>37530</v>
          </cell>
          <cell r="Z79">
            <v>200210000</v>
          </cell>
        </row>
        <row r="80">
          <cell r="Y80">
            <v>37561</v>
          </cell>
          <cell r="Z80">
            <v>200211000</v>
          </cell>
        </row>
        <row r="81">
          <cell r="Y81">
            <v>37591</v>
          </cell>
          <cell r="Z81">
            <v>200212000</v>
          </cell>
        </row>
        <row r="82">
          <cell r="Y82">
            <v>37622</v>
          </cell>
          <cell r="Z82">
            <v>200301000</v>
          </cell>
        </row>
        <row r="83">
          <cell r="Y83">
            <v>37653</v>
          </cell>
          <cell r="Z83">
            <v>200302000</v>
          </cell>
        </row>
        <row r="84">
          <cell r="Y84">
            <v>37681</v>
          </cell>
          <cell r="Z84">
            <v>200303000</v>
          </cell>
        </row>
        <row r="202">
          <cell r="Y202">
            <v>37712</v>
          </cell>
          <cell r="Z202">
            <v>200304000</v>
          </cell>
        </row>
        <row r="203">
          <cell r="Y203">
            <v>37742</v>
          </cell>
          <cell r="Z203">
            <v>200305000</v>
          </cell>
        </row>
        <row r="204">
          <cell r="Y204">
            <v>37926</v>
          </cell>
          <cell r="Z204">
            <v>200311000</v>
          </cell>
        </row>
        <row r="205">
          <cell r="Y205">
            <v>37956</v>
          </cell>
          <cell r="Z205">
            <v>200312000</v>
          </cell>
        </row>
        <row r="206">
          <cell r="Y206">
            <v>37987</v>
          </cell>
          <cell r="Z206">
            <v>200401000</v>
          </cell>
        </row>
        <row r="207">
          <cell r="Y207">
            <v>38018</v>
          </cell>
          <cell r="Z207">
            <v>200402000</v>
          </cell>
        </row>
        <row r="208">
          <cell r="Y208">
            <v>38047</v>
          </cell>
          <cell r="Z208">
            <v>200403000</v>
          </cell>
        </row>
        <row r="209">
          <cell r="Y209">
            <v>38078</v>
          </cell>
          <cell r="Z209">
            <v>200404000</v>
          </cell>
        </row>
        <row r="210">
          <cell r="Y210">
            <v>38108</v>
          </cell>
          <cell r="Z210">
            <v>200405000</v>
          </cell>
        </row>
        <row r="211">
          <cell r="Y211">
            <v>38139</v>
          </cell>
          <cell r="Z211">
            <v>200406000</v>
          </cell>
        </row>
        <row r="212">
          <cell r="Y212">
            <v>38169</v>
          </cell>
          <cell r="Z212">
            <v>200407000</v>
          </cell>
        </row>
        <row r="213">
          <cell r="Y213">
            <v>38687</v>
          </cell>
          <cell r="Z213">
            <v>200512000</v>
          </cell>
        </row>
        <row r="214">
          <cell r="Y214">
            <v>38718</v>
          </cell>
          <cell r="Z214">
            <v>200601000</v>
          </cell>
        </row>
        <row r="215">
          <cell r="Y215">
            <v>38749</v>
          </cell>
          <cell r="Z215">
            <v>200602000</v>
          </cell>
        </row>
        <row r="216">
          <cell r="Y216">
            <v>38777</v>
          </cell>
          <cell r="Z216">
            <v>200603000</v>
          </cell>
        </row>
        <row r="217">
          <cell r="Y217">
            <v>38808</v>
          </cell>
          <cell r="Z217">
            <v>200604000</v>
          </cell>
        </row>
        <row r="218">
          <cell r="Y218">
            <v>38838</v>
          </cell>
          <cell r="Z218">
            <v>200605000</v>
          </cell>
        </row>
        <row r="219">
          <cell r="Y219">
            <v>38869</v>
          </cell>
          <cell r="Z219">
            <v>200606000</v>
          </cell>
        </row>
        <row r="220">
          <cell r="Y220">
            <v>38899</v>
          </cell>
          <cell r="Z220">
            <v>200607000</v>
          </cell>
        </row>
        <row r="221">
          <cell r="Y221">
            <v>38930</v>
          </cell>
          <cell r="Z221">
            <v>200608000</v>
          </cell>
        </row>
        <row r="222">
          <cell r="Y222">
            <v>38961</v>
          </cell>
          <cell r="Z222">
            <v>200609000</v>
          </cell>
        </row>
        <row r="223">
          <cell r="Y223">
            <v>38991</v>
          </cell>
          <cell r="Z223">
            <v>200610000</v>
          </cell>
        </row>
        <row r="224">
          <cell r="Y224">
            <v>39022</v>
          </cell>
          <cell r="Z224">
            <v>200611000</v>
          </cell>
        </row>
        <row r="225">
          <cell r="Y225">
            <v>39052</v>
          </cell>
          <cell r="Z225">
            <v>200612000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 Day"/>
      <sheetName val="22 Night"/>
      <sheetName val="23 Day"/>
      <sheetName val="23 Night"/>
      <sheetName val="24 Day"/>
      <sheetName val="24 Night"/>
      <sheetName val="25 Day"/>
      <sheetName val="25 Night"/>
      <sheetName val="26 Day"/>
      <sheetName val="26 Night"/>
      <sheetName val="27 Day"/>
      <sheetName val="27 Night"/>
      <sheetName val="28 Day"/>
      <sheetName val="28 Night"/>
      <sheetName val="SMU Unit"/>
      <sheetName val="22_Day"/>
      <sheetName val="22_Night"/>
      <sheetName val="23_Day"/>
      <sheetName val="23_Night"/>
      <sheetName val="24_Day"/>
      <sheetName val="24_Night"/>
      <sheetName val="25_Day"/>
      <sheetName val="25_Night"/>
      <sheetName val="26_Day"/>
      <sheetName val="26_Night"/>
      <sheetName val="27_Day"/>
      <sheetName val="27_Night"/>
      <sheetName val="28_Day"/>
      <sheetName val="28_Night"/>
      <sheetName val="SMU_Unit"/>
      <sheetName val="22_Day1"/>
      <sheetName val="22_Night1"/>
      <sheetName val="23_Day1"/>
      <sheetName val="23_Night1"/>
      <sheetName val="24_Day1"/>
      <sheetName val="24_Night1"/>
      <sheetName val="25_Day1"/>
      <sheetName val="25_Night1"/>
      <sheetName val="26_Day1"/>
      <sheetName val="26_Night1"/>
      <sheetName val="27_Day1"/>
      <sheetName val="27_Night1"/>
      <sheetName val="28_Day1"/>
      <sheetName val="28_Night1"/>
      <sheetName val="SMU_Unit1"/>
      <sheetName val="22_Day2"/>
      <sheetName val="22_Night2"/>
      <sheetName val="23_Day2"/>
      <sheetName val="23_Night2"/>
      <sheetName val="24_Day2"/>
      <sheetName val="24_Night2"/>
      <sheetName val="25_Day2"/>
      <sheetName val="25_Night2"/>
      <sheetName val="26_Day2"/>
      <sheetName val="26_Night2"/>
      <sheetName val="27_Day2"/>
      <sheetName val="27_Night2"/>
      <sheetName val="28_Day2"/>
      <sheetName val="28_Night2"/>
      <sheetName val="SMU_Unit2"/>
      <sheetName val="22_Day3"/>
      <sheetName val="22_Night3"/>
      <sheetName val="23_Day3"/>
      <sheetName val="23_Night3"/>
      <sheetName val="24_Day3"/>
      <sheetName val="24_Night3"/>
      <sheetName val="25_Day3"/>
      <sheetName val="25_Night3"/>
      <sheetName val="26_Day3"/>
      <sheetName val="26_Night3"/>
      <sheetName val="27_Day3"/>
      <sheetName val="27_Night3"/>
      <sheetName val="28_Day3"/>
      <sheetName val="28_Night3"/>
      <sheetName val="SMU_Unit3"/>
      <sheetName val="22_Day4"/>
      <sheetName val="22_Night4"/>
      <sheetName val="23_Day4"/>
      <sheetName val="23_Night4"/>
      <sheetName val="24_Day4"/>
      <sheetName val="24_Night4"/>
      <sheetName val="25_Day4"/>
      <sheetName val="25_Night4"/>
      <sheetName val="26_Day4"/>
      <sheetName val="26_Night4"/>
      <sheetName val="27_Day4"/>
      <sheetName val="27_Night4"/>
      <sheetName val="28_Day4"/>
      <sheetName val="28_Night4"/>
      <sheetName val="SMU_Unit4"/>
      <sheetName val="22_Day5"/>
      <sheetName val="22_Night5"/>
      <sheetName val="23_Day5"/>
      <sheetName val="23_Night5"/>
      <sheetName val="24_Day5"/>
      <sheetName val="24_Night5"/>
      <sheetName val="25_Day5"/>
      <sheetName val="25_Night5"/>
      <sheetName val="26_Day5"/>
      <sheetName val="26_Night5"/>
      <sheetName val="27_Day5"/>
      <sheetName val="27_Night5"/>
      <sheetName val="28_Day5"/>
      <sheetName val="28_Night5"/>
      <sheetName val="SMU_Unit5"/>
      <sheetName val="22_Day6"/>
      <sheetName val="22_Night6"/>
      <sheetName val="23_Day6"/>
      <sheetName val="23_Night6"/>
      <sheetName val="24_Day6"/>
      <sheetName val="24_Night6"/>
      <sheetName val="25_Day6"/>
      <sheetName val="25_Night6"/>
      <sheetName val="26_Day6"/>
      <sheetName val="26_Night6"/>
      <sheetName val="27_Day6"/>
      <sheetName val="27_Night6"/>
      <sheetName val="28_Day6"/>
      <sheetName val="28_Night6"/>
      <sheetName val="SMU_Unit6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AM10" t="str">
            <v>EX7918</v>
          </cell>
          <cell r="AN10">
            <v>26167.4</v>
          </cell>
          <cell r="AO10">
            <v>26175.8</v>
          </cell>
        </row>
        <row r="12">
          <cell r="AM12" t="str">
            <v>RD7474</v>
          </cell>
          <cell r="AN12">
            <v>2715</v>
          </cell>
          <cell r="AO12">
            <v>2723.5</v>
          </cell>
        </row>
        <row r="13">
          <cell r="AM13" t="str">
            <v>RD7510</v>
          </cell>
          <cell r="AN13">
            <v>37891.300000000003</v>
          </cell>
          <cell r="AO13">
            <v>37899.800000000003</v>
          </cell>
        </row>
        <row r="14">
          <cell r="AM14" t="str">
            <v>RD7919</v>
          </cell>
          <cell r="AN14">
            <v>25803.599999999999</v>
          </cell>
          <cell r="AO14">
            <v>25812.3</v>
          </cell>
        </row>
        <row r="28">
          <cell r="AM28">
            <v>0</v>
          </cell>
          <cell r="AN28">
            <v>0</v>
          </cell>
          <cell r="AO28">
            <v>0</v>
          </cell>
        </row>
        <row r="29">
          <cell r="AM29">
            <v>0</v>
          </cell>
          <cell r="AN29">
            <v>0</v>
          </cell>
          <cell r="AO29">
            <v>0</v>
          </cell>
        </row>
        <row r="30">
          <cell r="AM30">
            <v>0</v>
          </cell>
          <cell r="AN30">
            <v>0</v>
          </cell>
          <cell r="AO30" t="str">
            <v>Exc</v>
          </cell>
        </row>
        <row r="31">
          <cell r="AM31">
            <v>0</v>
          </cell>
          <cell r="AN31">
            <v>0</v>
          </cell>
          <cell r="AO31">
            <v>0</v>
          </cell>
        </row>
        <row r="32">
          <cell r="AM32">
            <v>0</v>
          </cell>
          <cell r="AN32">
            <v>0</v>
          </cell>
          <cell r="AO32" t="str">
            <v>EX7918</v>
          </cell>
        </row>
        <row r="33">
          <cell r="AM33">
            <v>0</v>
          </cell>
          <cell r="AN33">
            <v>0</v>
          </cell>
          <cell r="AO33">
            <v>0</v>
          </cell>
        </row>
        <row r="34">
          <cell r="AM34">
            <v>0</v>
          </cell>
          <cell r="AN34">
            <v>0</v>
          </cell>
          <cell r="AO34">
            <v>0</v>
          </cell>
        </row>
        <row r="35">
          <cell r="AM35">
            <v>0</v>
          </cell>
          <cell r="AN35">
            <v>0</v>
          </cell>
          <cell r="AO35">
            <v>0</v>
          </cell>
        </row>
        <row r="36">
          <cell r="AM36">
            <v>0</v>
          </cell>
          <cell r="AN36">
            <v>0</v>
          </cell>
          <cell r="AO36">
            <v>0</v>
          </cell>
        </row>
        <row r="37">
          <cell r="AM37">
            <v>0</v>
          </cell>
          <cell r="AN37">
            <v>0</v>
          </cell>
          <cell r="AO37">
            <v>0</v>
          </cell>
        </row>
        <row r="38">
          <cell r="AM38">
            <v>0</v>
          </cell>
          <cell r="AN38">
            <v>0</v>
          </cell>
          <cell r="AO38">
            <v>0</v>
          </cell>
        </row>
        <row r="39">
          <cell r="AM39">
            <v>0</v>
          </cell>
          <cell r="AN39">
            <v>0</v>
          </cell>
          <cell r="AO39">
            <v>0</v>
          </cell>
        </row>
        <row r="40">
          <cell r="AM40">
            <v>0</v>
          </cell>
          <cell r="AN40">
            <v>0</v>
          </cell>
          <cell r="AO40">
            <v>0</v>
          </cell>
        </row>
        <row r="41">
          <cell r="AM41">
            <v>0</v>
          </cell>
          <cell r="AN41">
            <v>0</v>
          </cell>
          <cell r="AO41">
            <v>0</v>
          </cell>
        </row>
        <row r="42">
          <cell r="AM42">
            <v>0</v>
          </cell>
          <cell r="AN42">
            <v>0</v>
          </cell>
          <cell r="AO42">
            <v>0</v>
          </cell>
        </row>
        <row r="43">
          <cell r="AM43">
            <v>0</v>
          </cell>
          <cell r="AN43">
            <v>0</v>
          </cell>
          <cell r="AO43">
            <v>0</v>
          </cell>
        </row>
        <row r="44">
          <cell r="AM44">
            <v>0</v>
          </cell>
          <cell r="AN44">
            <v>0</v>
          </cell>
          <cell r="AO44">
            <v>0</v>
          </cell>
        </row>
        <row r="45">
          <cell r="AM45">
            <v>0</v>
          </cell>
          <cell r="AN45">
            <v>0</v>
          </cell>
          <cell r="AO45">
            <v>0</v>
          </cell>
        </row>
        <row r="46">
          <cell r="AM46">
            <v>0</v>
          </cell>
          <cell r="AN46">
            <v>0</v>
          </cell>
          <cell r="AO46">
            <v>0</v>
          </cell>
        </row>
        <row r="47">
          <cell r="AM47">
            <v>0</v>
          </cell>
          <cell r="AN47">
            <v>0</v>
          </cell>
          <cell r="AO47">
            <v>0</v>
          </cell>
        </row>
        <row r="48">
          <cell r="AM48">
            <v>0</v>
          </cell>
          <cell r="AN48">
            <v>0</v>
          </cell>
          <cell r="AO48">
            <v>0</v>
          </cell>
        </row>
        <row r="49">
          <cell r="AM49">
            <v>0</v>
          </cell>
          <cell r="AN49">
            <v>0</v>
          </cell>
          <cell r="AO49">
            <v>0</v>
          </cell>
        </row>
        <row r="50">
          <cell r="AM50">
            <v>0</v>
          </cell>
          <cell r="AN50">
            <v>0</v>
          </cell>
          <cell r="AO50">
            <v>0</v>
          </cell>
        </row>
        <row r="51">
          <cell r="AM51">
            <v>0</v>
          </cell>
          <cell r="AN51">
            <v>0</v>
          </cell>
          <cell r="AO51">
            <v>0</v>
          </cell>
        </row>
        <row r="52">
          <cell r="AM52">
            <v>0</v>
          </cell>
          <cell r="AN52">
            <v>0</v>
          </cell>
          <cell r="AO52">
            <v>0</v>
          </cell>
        </row>
        <row r="53">
          <cell r="AM53">
            <v>0</v>
          </cell>
          <cell r="AN53" t="str">
            <v>WORKGROUP</v>
          </cell>
          <cell r="AO53">
            <v>0</v>
          </cell>
        </row>
        <row r="54">
          <cell r="AM54">
            <v>0</v>
          </cell>
          <cell r="AN54" t="str">
            <v>COST CODE</v>
          </cell>
          <cell r="AO54">
            <v>0</v>
          </cell>
        </row>
        <row r="55">
          <cell r="AM55" t="str">
            <v>EQUIPMENT</v>
          </cell>
          <cell r="AN55">
            <v>0</v>
          </cell>
          <cell r="AO55">
            <v>0</v>
          </cell>
        </row>
        <row r="56">
          <cell r="AM56" t="str">
            <v>NUMBER</v>
          </cell>
          <cell r="AN56" t="str">
            <v>AWAL</v>
          </cell>
          <cell r="AO56" t="str">
            <v>AKHIR</v>
          </cell>
        </row>
        <row r="57">
          <cell r="AM57" t="str">
            <v>EX7586</v>
          </cell>
          <cell r="AN57">
            <v>4009.4</v>
          </cell>
          <cell r="AO57">
            <v>4018.3</v>
          </cell>
        </row>
        <row r="59">
          <cell r="AM59" t="str">
            <v>RD7508</v>
          </cell>
          <cell r="AN59">
            <v>38481.300000000003</v>
          </cell>
          <cell r="AO59">
            <v>38490.199999999997</v>
          </cell>
        </row>
        <row r="60">
          <cell r="AM60" t="str">
            <v>RD7507</v>
          </cell>
          <cell r="AN60">
            <v>39141.699999999997</v>
          </cell>
          <cell r="AO60">
            <v>39151.199999999997</v>
          </cell>
        </row>
        <row r="61">
          <cell r="AM61" t="str">
            <v>RD3082</v>
          </cell>
          <cell r="AN61">
            <v>10575.21</v>
          </cell>
          <cell r="AO61">
            <v>10581.3</v>
          </cell>
        </row>
        <row r="62">
          <cell r="AM62" t="str">
            <v>RD3090</v>
          </cell>
          <cell r="AN62">
            <v>9797</v>
          </cell>
          <cell r="AO62">
            <v>9800.9</v>
          </cell>
        </row>
        <row r="75">
          <cell r="AM75">
            <v>0</v>
          </cell>
          <cell r="AN75">
            <v>0</v>
          </cell>
          <cell r="AO75">
            <v>0</v>
          </cell>
        </row>
        <row r="76">
          <cell r="AM76">
            <v>0</v>
          </cell>
          <cell r="AN76">
            <v>0</v>
          </cell>
          <cell r="AO76">
            <v>0</v>
          </cell>
        </row>
        <row r="77">
          <cell r="AM77">
            <v>0</v>
          </cell>
          <cell r="AN77">
            <v>0</v>
          </cell>
          <cell r="AO77" t="str">
            <v>Exc</v>
          </cell>
        </row>
        <row r="78">
          <cell r="AM78">
            <v>0</v>
          </cell>
          <cell r="AN78">
            <v>0</v>
          </cell>
          <cell r="AO78">
            <v>0</v>
          </cell>
        </row>
        <row r="79">
          <cell r="AM79">
            <v>0</v>
          </cell>
          <cell r="AN79">
            <v>0</v>
          </cell>
          <cell r="AO79" t="str">
            <v>EX7586</v>
          </cell>
        </row>
        <row r="80">
          <cell r="AM80">
            <v>0</v>
          </cell>
          <cell r="AN80">
            <v>0</v>
          </cell>
          <cell r="AO80">
            <v>0</v>
          </cell>
        </row>
        <row r="81">
          <cell r="AM81">
            <v>0</v>
          </cell>
          <cell r="AN81">
            <v>0</v>
          </cell>
          <cell r="AO81">
            <v>0</v>
          </cell>
        </row>
        <row r="82">
          <cell r="AM82">
            <v>0</v>
          </cell>
          <cell r="AN82">
            <v>0</v>
          </cell>
          <cell r="AO82">
            <v>0</v>
          </cell>
        </row>
        <row r="83">
          <cell r="AM83">
            <v>0</v>
          </cell>
          <cell r="AN83">
            <v>0</v>
          </cell>
          <cell r="AO83">
            <v>0</v>
          </cell>
        </row>
        <row r="84">
          <cell r="AM84">
            <v>0</v>
          </cell>
          <cell r="AN84">
            <v>0</v>
          </cell>
          <cell r="AO84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</row>
        <row r="86">
          <cell r="AM86">
            <v>0</v>
          </cell>
          <cell r="AN86">
            <v>0</v>
          </cell>
          <cell r="AO86">
            <v>0</v>
          </cell>
        </row>
        <row r="87">
          <cell r="AM87">
            <v>0</v>
          </cell>
          <cell r="AN87">
            <v>0</v>
          </cell>
          <cell r="AO87">
            <v>0</v>
          </cell>
        </row>
        <row r="88">
          <cell r="AM88">
            <v>0</v>
          </cell>
          <cell r="AN88">
            <v>0</v>
          </cell>
          <cell r="AO88">
            <v>0</v>
          </cell>
        </row>
        <row r="89">
          <cell r="AM89">
            <v>0</v>
          </cell>
          <cell r="AN89">
            <v>0</v>
          </cell>
          <cell r="AO89">
            <v>0</v>
          </cell>
        </row>
        <row r="90">
          <cell r="AM90">
            <v>0</v>
          </cell>
          <cell r="AN90">
            <v>0</v>
          </cell>
          <cell r="AO90">
            <v>0</v>
          </cell>
        </row>
        <row r="91">
          <cell r="AM91">
            <v>0</v>
          </cell>
          <cell r="AN91">
            <v>0</v>
          </cell>
          <cell r="AO91">
            <v>0</v>
          </cell>
        </row>
        <row r="92">
          <cell r="AM92">
            <v>0</v>
          </cell>
          <cell r="AN92">
            <v>0</v>
          </cell>
          <cell r="AO92">
            <v>0</v>
          </cell>
        </row>
        <row r="93">
          <cell r="AM93">
            <v>0</v>
          </cell>
          <cell r="AN93">
            <v>0</v>
          </cell>
          <cell r="AO93">
            <v>0</v>
          </cell>
        </row>
        <row r="94">
          <cell r="AM94">
            <v>0</v>
          </cell>
          <cell r="AN94">
            <v>0</v>
          </cell>
          <cell r="AO94">
            <v>0</v>
          </cell>
        </row>
        <row r="95">
          <cell r="AM95">
            <v>0</v>
          </cell>
          <cell r="AN95">
            <v>0</v>
          </cell>
          <cell r="AO95">
            <v>0</v>
          </cell>
        </row>
        <row r="96">
          <cell r="AM96">
            <v>0</v>
          </cell>
          <cell r="AN96">
            <v>0</v>
          </cell>
          <cell r="AO96">
            <v>0</v>
          </cell>
        </row>
        <row r="97">
          <cell r="AM97">
            <v>0</v>
          </cell>
          <cell r="AN97">
            <v>0</v>
          </cell>
          <cell r="AO97">
            <v>0</v>
          </cell>
        </row>
        <row r="98">
          <cell r="AM98">
            <v>0</v>
          </cell>
          <cell r="AN98">
            <v>0</v>
          </cell>
          <cell r="AO98">
            <v>0</v>
          </cell>
        </row>
        <row r="99">
          <cell r="AM99">
            <v>0</v>
          </cell>
          <cell r="AN99">
            <v>0</v>
          </cell>
          <cell r="AO99">
            <v>0</v>
          </cell>
        </row>
        <row r="100">
          <cell r="AM100">
            <v>0</v>
          </cell>
          <cell r="AN100" t="str">
            <v>WORKGROUP</v>
          </cell>
          <cell r="AO100">
            <v>0</v>
          </cell>
        </row>
        <row r="101">
          <cell r="AM101">
            <v>0</v>
          </cell>
          <cell r="AN101" t="str">
            <v>COST CODE</v>
          </cell>
          <cell r="AO101">
            <v>0</v>
          </cell>
        </row>
        <row r="102">
          <cell r="AM102" t="str">
            <v>EQUIPMENT</v>
          </cell>
          <cell r="AN102">
            <v>0</v>
          </cell>
          <cell r="AO102">
            <v>0</v>
          </cell>
        </row>
        <row r="103">
          <cell r="AM103" t="str">
            <v>NUMBER</v>
          </cell>
          <cell r="AN103" t="str">
            <v>AWAL</v>
          </cell>
          <cell r="AO103" t="str">
            <v>AKHIR</v>
          </cell>
        </row>
        <row r="104">
          <cell r="AM104" t="str">
            <v>EX3029</v>
          </cell>
          <cell r="AN104">
            <v>12977</v>
          </cell>
          <cell r="AO104">
            <v>12987</v>
          </cell>
        </row>
        <row r="106">
          <cell r="AM106" t="str">
            <v>RD3096</v>
          </cell>
          <cell r="AN106">
            <v>8304.6</v>
          </cell>
          <cell r="AO106">
            <v>8311.6</v>
          </cell>
        </row>
        <row r="107">
          <cell r="AM107" t="str">
            <v>RD3083</v>
          </cell>
          <cell r="AN107">
            <v>11271.6</v>
          </cell>
          <cell r="AO107">
            <v>11279.7</v>
          </cell>
        </row>
        <row r="122">
          <cell r="AM122">
            <v>0</v>
          </cell>
          <cell r="AN122">
            <v>0</v>
          </cell>
          <cell r="AO122">
            <v>0</v>
          </cell>
        </row>
        <row r="123">
          <cell r="AM123">
            <v>0</v>
          </cell>
          <cell r="AN123">
            <v>0</v>
          </cell>
          <cell r="AO123">
            <v>0</v>
          </cell>
        </row>
        <row r="124">
          <cell r="AM124">
            <v>0</v>
          </cell>
          <cell r="AN124">
            <v>0</v>
          </cell>
          <cell r="AO124" t="str">
            <v>Exc</v>
          </cell>
        </row>
        <row r="125">
          <cell r="AM125">
            <v>0</v>
          </cell>
          <cell r="AN125">
            <v>0</v>
          </cell>
          <cell r="AO125">
            <v>0</v>
          </cell>
        </row>
        <row r="126">
          <cell r="AM126">
            <v>0</v>
          </cell>
          <cell r="AN126">
            <v>0</v>
          </cell>
          <cell r="AO126" t="str">
            <v>EX3029</v>
          </cell>
        </row>
        <row r="127">
          <cell r="AM127">
            <v>0</v>
          </cell>
          <cell r="AN127">
            <v>0</v>
          </cell>
          <cell r="AO127">
            <v>0</v>
          </cell>
        </row>
        <row r="128">
          <cell r="AM128">
            <v>0</v>
          </cell>
          <cell r="AN128">
            <v>0</v>
          </cell>
          <cell r="AO128" t="str">
            <v>EX3029</v>
          </cell>
        </row>
        <row r="129">
          <cell r="AM129">
            <v>0</v>
          </cell>
          <cell r="AN129">
            <v>0</v>
          </cell>
          <cell r="AO129">
            <v>0</v>
          </cell>
        </row>
        <row r="130">
          <cell r="AM130">
            <v>0</v>
          </cell>
          <cell r="AN130">
            <v>0</v>
          </cell>
          <cell r="AO130">
            <v>0</v>
          </cell>
        </row>
        <row r="131">
          <cell r="AM131">
            <v>0</v>
          </cell>
          <cell r="AN131">
            <v>0</v>
          </cell>
          <cell r="AO131">
            <v>0</v>
          </cell>
        </row>
        <row r="132">
          <cell r="AM132">
            <v>0</v>
          </cell>
          <cell r="AN132">
            <v>0</v>
          </cell>
          <cell r="AO132">
            <v>0</v>
          </cell>
        </row>
        <row r="133">
          <cell r="AM133">
            <v>0</v>
          </cell>
          <cell r="AN133">
            <v>0</v>
          </cell>
          <cell r="AO133">
            <v>0</v>
          </cell>
        </row>
        <row r="134">
          <cell r="AM134">
            <v>0</v>
          </cell>
          <cell r="AN134">
            <v>0</v>
          </cell>
          <cell r="AO134">
            <v>0</v>
          </cell>
        </row>
        <row r="135">
          <cell r="AM135">
            <v>0</v>
          </cell>
          <cell r="AN135">
            <v>0</v>
          </cell>
          <cell r="AO135">
            <v>0</v>
          </cell>
        </row>
        <row r="136">
          <cell r="AM136">
            <v>0</v>
          </cell>
          <cell r="AN136">
            <v>0</v>
          </cell>
          <cell r="AO136">
            <v>0</v>
          </cell>
        </row>
        <row r="137">
          <cell r="AM137">
            <v>0</v>
          </cell>
          <cell r="AN137">
            <v>0</v>
          </cell>
          <cell r="AO137">
            <v>0</v>
          </cell>
        </row>
        <row r="138">
          <cell r="AM138">
            <v>0</v>
          </cell>
          <cell r="AN138">
            <v>0</v>
          </cell>
          <cell r="AO138">
            <v>0</v>
          </cell>
        </row>
        <row r="139">
          <cell r="AM139">
            <v>0</v>
          </cell>
          <cell r="AN139">
            <v>0</v>
          </cell>
          <cell r="AO139">
            <v>0</v>
          </cell>
        </row>
        <row r="140">
          <cell r="AM140">
            <v>0</v>
          </cell>
          <cell r="AN140">
            <v>0</v>
          </cell>
          <cell r="AO140">
            <v>0</v>
          </cell>
        </row>
        <row r="141">
          <cell r="AM141">
            <v>0</v>
          </cell>
          <cell r="AN141">
            <v>0</v>
          </cell>
          <cell r="AO141">
            <v>0</v>
          </cell>
        </row>
        <row r="142">
          <cell r="AM142">
            <v>0</v>
          </cell>
          <cell r="AN142">
            <v>0</v>
          </cell>
          <cell r="AO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</row>
        <row r="144">
          <cell r="AM144">
            <v>0</v>
          </cell>
          <cell r="AN144">
            <v>0</v>
          </cell>
          <cell r="AO144">
            <v>0</v>
          </cell>
        </row>
        <row r="145">
          <cell r="AM145">
            <v>0</v>
          </cell>
          <cell r="AN145">
            <v>0</v>
          </cell>
          <cell r="AO145">
            <v>0</v>
          </cell>
        </row>
        <row r="146">
          <cell r="AM146">
            <v>0</v>
          </cell>
          <cell r="AN146">
            <v>0</v>
          </cell>
          <cell r="AO146">
            <v>0</v>
          </cell>
        </row>
        <row r="147">
          <cell r="AM147">
            <v>0</v>
          </cell>
          <cell r="AN147" t="str">
            <v>WORKGROUP</v>
          </cell>
          <cell r="AO147">
            <v>0</v>
          </cell>
        </row>
        <row r="148">
          <cell r="AM148">
            <v>0</v>
          </cell>
          <cell r="AN148" t="str">
            <v>COST CODE</v>
          </cell>
          <cell r="AO148">
            <v>0</v>
          </cell>
        </row>
        <row r="149">
          <cell r="AM149" t="str">
            <v>EQUIPMENT</v>
          </cell>
          <cell r="AN149">
            <v>0</v>
          </cell>
          <cell r="AO149">
            <v>0</v>
          </cell>
        </row>
        <row r="150">
          <cell r="AM150" t="str">
            <v>NUMBER</v>
          </cell>
          <cell r="AN150" t="str">
            <v>AWAL</v>
          </cell>
          <cell r="AO150" t="str">
            <v>AKHIR</v>
          </cell>
        </row>
        <row r="151">
          <cell r="AM151" t="str">
            <v>EX3030</v>
          </cell>
          <cell r="AN151">
            <v>5807</v>
          </cell>
          <cell r="AO151">
            <v>5817</v>
          </cell>
        </row>
        <row r="153">
          <cell r="AM153" t="str">
            <v>RD3087</v>
          </cell>
          <cell r="AN153">
            <v>10111.299999999999</v>
          </cell>
          <cell r="AO153">
            <v>10121.5</v>
          </cell>
        </row>
        <row r="154">
          <cell r="AM154" t="str">
            <v>RD3055</v>
          </cell>
          <cell r="AN154">
            <v>14146.7</v>
          </cell>
          <cell r="AO154">
            <v>14157.3</v>
          </cell>
        </row>
        <row r="169">
          <cell r="AM169">
            <v>0</v>
          </cell>
          <cell r="AN169">
            <v>0</v>
          </cell>
          <cell r="AO169">
            <v>0</v>
          </cell>
        </row>
        <row r="170">
          <cell r="AM170">
            <v>0</v>
          </cell>
          <cell r="AN170">
            <v>0</v>
          </cell>
          <cell r="AO170">
            <v>0</v>
          </cell>
        </row>
        <row r="171">
          <cell r="AM171">
            <v>0</v>
          </cell>
          <cell r="AN171">
            <v>0</v>
          </cell>
          <cell r="AO171" t="str">
            <v>Exc</v>
          </cell>
        </row>
        <row r="172">
          <cell r="AM172">
            <v>0</v>
          </cell>
          <cell r="AN172">
            <v>0</v>
          </cell>
          <cell r="AO172">
            <v>0</v>
          </cell>
        </row>
        <row r="173">
          <cell r="AM173">
            <v>0</v>
          </cell>
          <cell r="AN173">
            <v>0</v>
          </cell>
          <cell r="AO173" t="str">
            <v>EX3030</v>
          </cell>
        </row>
        <row r="174">
          <cell r="AM174">
            <v>0</v>
          </cell>
          <cell r="AN174">
            <v>0</v>
          </cell>
          <cell r="AO174">
            <v>0</v>
          </cell>
        </row>
        <row r="175">
          <cell r="AM175">
            <v>0</v>
          </cell>
          <cell r="AN175">
            <v>0</v>
          </cell>
          <cell r="AO175">
            <v>0</v>
          </cell>
        </row>
        <row r="176">
          <cell r="AM176">
            <v>0</v>
          </cell>
          <cell r="AN176">
            <v>0</v>
          </cell>
          <cell r="AO176">
            <v>0</v>
          </cell>
        </row>
        <row r="177">
          <cell r="AM177">
            <v>0</v>
          </cell>
          <cell r="AN177">
            <v>0</v>
          </cell>
          <cell r="AO177">
            <v>0</v>
          </cell>
        </row>
        <row r="178">
          <cell r="AM178">
            <v>0</v>
          </cell>
          <cell r="AN178">
            <v>0</v>
          </cell>
          <cell r="AO178">
            <v>0</v>
          </cell>
        </row>
        <row r="179">
          <cell r="AM179">
            <v>0</v>
          </cell>
          <cell r="AN179">
            <v>0</v>
          </cell>
          <cell r="AO179">
            <v>0</v>
          </cell>
        </row>
        <row r="180">
          <cell r="AM180">
            <v>0</v>
          </cell>
          <cell r="AN180">
            <v>0</v>
          </cell>
          <cell r="AO180">
            <v>0</v>
          </cell>
        </row>
        <row r="181">
          <cell r="AM181">
            <v>0</v>
          </cell>
          <cell r="AN181">
            <v>0</v>
          </cell>
          <cell r="AO181">
            <v>0</v>
          </cell>
        </row>
        <row r="182">
          <cell r="AM182">
            <v>0</v>
          </cell>
          <cell r="AN182">
            <v>0</v>
          </cell>
          <cell r="AO182">
            <v>0</v>
          </cell>
        </row>
        <row r="183">
          <cell r="AM183">
            <v>0</v>
          </cell>
          <cell r="AN183">
            <v>0</v>
          </cell>
          <cell r="AO183">
            <v>0</v>
          </cell>
        </row>
        <row r="184">
          <cell r="AM184">
            <v>0</v>
          </cell>
          <cell r="AN184">
            <v>0</v>
          </cell>
          <cell r="AO184">
            <v>0</v>
          </cell>
        </row>
        <row r="185">
          <cell r="AM185">
            <v>0</v>
          </cell>
          <cell r="AN185">
            <v>0</v>
          </cell>
          <cell r="AO185">
            <v>0</v>
          </cell>
        </row>
        <row r="186">
          <cell r="AM186">
            <v>0</v>
          </cell>
          <cell r="AN186">
            <v>0</v>
          </cell>
          <cell r="AO186">
            <v>0</v>
          </cell>
        </row>
        <row r="187">
          <cell r="AM187">
            <v>0</v>
          </cell>
          <cell r="AN187">
            <v>0</v>
          </cell>
          <cell r="AO187">
            <v>0</v>
          </cell>
        </row>
        <row r="188">
          <cell r="AM188">
            <v>0</v>
          </cell>
          <cell r="AN188">
            <v>0</v>
          </cell>
          <cell r="AO188">
            <v>0</v>
          </cell>
        </row>
        <row r="189">
          <cell r="AM189">
            <v>0</v>
          </cell>
          <cell r="AN189">
            <v>0</v>
          </cell>
          <cell r="AO189">
            <v>0</v>
          </cell>
        </row>
        <row r="190">
          <cell r="AM190">
            <v>0</v>
          </cell>
          <cell r="AN190">
            <v>0</v>
          </cell>
          <cell r="AO190">
            <v>0</v>
          </cell>
        </row>
        <row r="191">
          <cell r="AM191">
            <v>0</v>
          </cell>
          <cell r="AN191">
            <v>0</v>
          </cell>
          <cell r="AO191">
            <v>0</v>
          </cell>
        </row>
        <row r="192">
          <cell r="AM192">
            <v>0</v>
          </cell>
          <cell r="AN192">
            <v>0</v>
          </cell>
          <cell r="AO192">
            <v>0</v>
          </cell>
        </row>
        <row r="193">
          <cell r="AM193">
            <v>0</v>
          </cell>
          <cell r="AN193">
            <v>0</v>
          </cell>
          <cell r="AO193">
            <v>0</v>
          </cell>
        </row>
        <row r="194">
          <cell r="AM194">
            <v>0</v>
          </cell>
          <cell r="AN194" t="str">
            <v>WORKGROUP</v>
          </cell>
          <cell r="AO194">
            <v>0</v>
          </cell>
        </row>
        <row r="195">
          <cell r="AM195">
            <v>0</v>
          </cell>
          <cell r="AN195" t="str">
            <v>COST CODE</v>
          </cell>
          <cell r="AO195">
            <v>0</v>
          </cell>
        </row>
        <row r="196">
          <cell r="AM196" t="str">
            <v>EQUIPMENT</v>
          </cell>
          <cell r="AN196">
            <v>0</v>
          </cell>
          <cell r="AO196">
            <v>0</v>
          </cell>
        </row>
        <row r="197">
          <cell r="AM197" t="str">
            <v>NUMBER</v>
          </cell>
          <cell r="AN197" t="str">
            <v>AWAL</v>
          </cell>
          <cell r="AO197" t="str">
            <v>AKHIR</v>
          </cell>
        </row>
        <row r="198">
          <cell r="AM198" t="str">
            <v>EX8254</v>
          </cell>
          <cell r="AN198">
            <v>15812</v>
          </cell>
          <cell r="AO198">
            <v>15819</v>
          </cell>
        </row>
        <row r="200">
          <cell r="AM200" t="str">
            <v>RD7856</v>
          </cell>
          <cell r="AN200">
            <v>23444.7</v>
          </cell>
          <cell r="AO200">
            <v>23450.799999999999</v>
          </cell>
        </row>
        <row r="201">
          <cell r="AM201" t="str">
            <v>RD7857</v>
          </cell>
          <cell r="AN201">
            <v>25563.3</v>
          </cell>
          <cell r="AO201">
            <v>25570</v>
          </cell>
        </row>
        <row r="216">
          <cell r="AM216">
            <v>0</v>
          </cell>
          <cell r="AN216">
            <v>0</v>
          </cell>
          <cell r="AO216">
            <v>0</v>
          </cell>
        </row>
        <row r="217">
          <cell r="AM217">
            <v>0</v>
          </cell>
          <cell r="AN217">
            <v>0</v>
          </cell>
          <cell r="AO217">
            <v>0</v>
          </cell>
        </row>
        <row r="218">
          <cell r="AM218">
            <v>0</v>
          </cell>
          <cell r="AN218">
            <v>0</v>
          </cell>
          <cell r="AO218" t="str">
            <v>Exc</v>
          </cell>
        </row>
        <row r="219">
          <cell r="AM219">
            <v>0</v>
          </cell>
          <cell r="AN219">
            <v>0</v>
          </cell>
          <cell r="AO219">
            <v>0</v>
          </cell>
        </row>
        <row r="220">
          <cell r="AM220">
            <v>0</v>
          </cell>
          <cell r="AN220">
            <v>0</v>
          </cell>
          <cell r="AO220" t="str">
            <v>EX8254</v>
          </cell>
        </row>
        <row r="221">
          <cell r="AM221">
            <v>0</v>
          </cell>
          <cell r="AN221">
            <v>0</v>
          </cell>
          <cell r="AO221">
            <v>0</v>
          </cell>
        </row>
        <row r="222">
          <cell r="AM222">
            <v>0</v>
          </cell>
          <cell r="AN222">
            <v>0</v>
          </cell>
          <cell r="AO222" t="str">
            <v>EX8254</v>
          </cell>
        </row>
        <row r="223">
          <cell r="AM223">
            <v>0</v>
          </cell>
          <cell r="AN223">
            <v>0</v>
          </cell>
          <cell r="AO223">
            <v>0</v>
          </cell>
        </row>
        <row r="224">
          <cell r="AM224">
            <v>0</v>
          </cell>
          <cell r="AN224">
            <v>0</v>
          </cell>
          <cell r="AO224" t="str">
            <v>EX8254</v>
          </cell>
        </row>
        <row r="225">
          <cell r="AM225">
            <v>0</v>
          </cell>
          <cell r="AN225">
            <v>0</v>
          </cell>
          <cell r="AO225">
            <v>0</v>
          </cell>
        </row>
        <row r="226">
          <cell r="AM226">
            <v>0</v>
          </cell>
          <cell r="AN226">
            <v>0</v>
          </cell>
          <cell r="AO226">
            <v>0</v>
          </cell>
        </row>
        <row r="227">
          <cell r="AM227">
            <v>0</v>
          </cell>
          <cell r="AN227">
            <v>0</v>
          </cell>
          <cell r="AO227">
            <v>0</v>
          </cell>
        </row>
        <row r="228">
          <cell r="AM228">
            <v>0</v>
          </cell>
          <cell r="AN228">
            <v>0</v>
          </cell>
          <cell r="AO228">
            <v>0</v>
          </cell>
        </row>
        <row r="229">
          <cell r="AM229">
            <v>0</v>
          </cell>
          <cell r="AN229">
            <v>0</v>
          </cell>
          <cell r="AO229">
            <v>0</v>
          </cell>
        </row>
        <row r="230">
          <cell r="AM230">
            <v>0</v>
          </cell>
          <cell r="AN230">
            <v>0</v>
          </cell>
          <cell r="AO230">
            <v>0</v>
          </cell>
        </row>
        <row r="231">
          <cell r="AM231">
            <v>0</v>
          </cell>
          <cell r="AN231">
            <v>0</v>
          </cell>
          <cell r="AO231">
            <v>0</v>
          </cell>
        </row>
        <row r="232">
          <cell r="AM232">
            <v>0</v>
          </cell>
          <cell r="AN232">
            <v>0</v>
          </cell>
          <cell r="AO232">
            <v>0</v>
          </cell>
        </row>
        <row r="233">
          <cell r="AM233">
            <v>0</v>
          </cell>
          <cell r="AN233">
            <v>0</v>
          </cell>
          <cell r="AO233">
            <v>0</v>
          </cell>
        </row>
        <row r="236">
          <cell r="AM236">
            <v>0</v>
          </cell>
          <cell r="AN236">
            <v>0</v>
          </cell>
          <cell r="AO236">
            <v>0</v>
          </cell>
        </row>
        <row r="237">
          <cell r="AM237">
            <v>0</v>
          </cell>
          <cell r="AN237">
            <v>0</v>
          </cell>
          <cell r="AO237">
            <v>0</v>
          </cell>
        </row>
        <row r="238">
          <cell r="AM238">
            <v>0</v>
          </cell>
          <cell r="AN238">
            <v>0</v>
          </cell>
          <cell r="AO238" t="str">
            <v xml:space="preserve">DAY: </v>
          </cell>
        </row>
        <row r="239">
          <cell r="AM239">
            <v>0</v>
          </cell>
          <cell r="AN239">
            <v>0</v>
          </cell>
          <cell r="AO239">
            <v>0</v>
          </cell>
        </row>
        <row r="240">
          <cell r="AM240">
            <v>0</v>
          </cell>
          <cell r="AN240">
            <v>0</v>
          </cell>
          <cell r="AO240">
            <v>0</v>
          </cell>
        </row>
        <row r="242">
          <cell r="AM242">
            <v>0</v>
          </cell>
          <cell r="AN242">
            <v>0</v>
          </cell>
          <cell r="AO242">
            <v>0</v>
          </cell>
        </row>
        <row r="243">
          <cell r="AM243" t="str">
            <v>UNIT No.</v>
          </cell>
          <cell r="AN243" t="str">
            <v>AWAL</v>
          </cell>
          <cell r="AO243" t="str">
            <v>AKHIR</v>
          </cell>
        </row>
        <row r="244">
          <cell r="AM244" t="str">
            <v>EX3111</v>
          </cell>
          <cell r="AN244">
            <v>95</v>
          </cell>
          <cell r="AO244">
            <v>104.6</v>
          </cell>
        </row>
        <row r="245">
          <cell r="AM245" t="str">
            <v>EX3115</v>
          </cell>
          <cell r="AN245">
            <v>94.5</v>
          </cell>
          <cell r="AO245">
            <v>105.1</v>
          </cell>
        </row>
        <row r="246">
          <cell r="AM246" t="str">
            <v>DZ3031</v>
          </cell>
          <cell r="AN246">
            <v>11240</v>
          </cell>
          <cell r="AO246">
            <v>11251</v>
          </cell>
        </row>
        <row r="247">
          <cell r="AM247" t="str">
            <v>DZ3056</v>
          </cell>
          <cell r="AN247">
            <v>1247</v>
          </cell>
          <cell r="AO247">
            <v>1257.2</v>
          </cell>
        </row>
        <row r="248">
          <cell r="AM248" t="str">
            <v>GR3007</v>
          </cell>
          <cell r="AN248">
            <v>11301.6</v>
          </cell>
          <cell r="AO248">
            <v>11302.6</v>
          </cell>
        </row>
        <row r="249">
          <cell r="AM249" t="str">
            <v>GR8231</v>
          </cell>
          <cell r="AN249">
            <v>23108.6</v>
          </cell>
          <cell r="AO249">
            <v>23119.200000000001</v>
          </cell>
        </row>
        <row r="250">
          <cell r="AM250" t="str">
            <v>WT3154</v>
          </cell>
          <cell r="AN250">
            <v>8251.7999999999993</v>
          </cell>
          <cell r="AO250">
            <v>8258.4</v>
          </cell>
        </row>
        <row r="251">
          <cell r="AM251" t="str">
            <v>VT3001</v>
          </cell>
          <cell r="AN251">
            <v>8896</v>
          </cell>
          <cell r="AO251">
            <v>8901</v>
          </cell>
        </row>
        <row r="252">
          <cell r="AM252" t="str">
            <v>PU3002</v>
          </cell>
          <cell r="AN252">
            <v>3524.5</v>
          </cell>
          <cell r="AO252">
            <v>3536.5</v>
          </cell>
        </row>
        <row r="253">
          <cell r="AM253" t="str">
            <v>PU3003</v>
          </cell>
          <cell r="AO253">
            <v>7678.8</v>
          </cell>
        </row>
        <row r="269">
          <cell r="AM269" t="str">
            <v>RD7473</v>
          </cell>
          <cell r="AN269">
            <v>44255.3</v>
          </cell>
          <cell r="AO269">
            <v>44255.3</v>
          </cell>
        </row>
        <row r="270">
          <cell r="AM270" t="str">
            <v>DZ3075</v>
          </cell>
          <cell r="AN270">
            <v>5907.6</v>
          </cell>
          <cell r="AO270">
            <v>5907.6</v>
          </cell>
        </row>
        <row r="271">
          <cell r="AM271" t="str">
            <v>DZ3030</v>
          </cell>
          <cell r="AN271">
            <v>10146</v>
          </cell>
          <cell r="AO271">
            <v>10146</v>
          </cell>
        </row>
        <row r="278">
          <cell r="AM278">
            <v>0</v>
          </cell>
          <cell r="AN278">
            <v>0</v>
          </cell>
          <cell r="AO278">
            <v>0</v>
          </cell>
        </row>
        <row r="279">
          <cell r="AM279">
            <v>0</v>
          </cell>
          <cell r="AN279">
            <v>0</v>
          </cell>
          <cell r="AO279">
            <v>0</v>
          </cell>
        </row>
        <row r="280">
          <cell r="AM280">
            <v>0</v>
          </cell>
          <cell r="AN280">
            <v>0</v>
          </cell>
          <cell r="AO280">
            <v>0</v>
          </cell>
        </row>
        <row r="281">
          <cell r="AM281">
            <v>0</v>
          </cell>
          <cell r="AN281">
            <v>0</v>
          </cell>
          <cell r="AO281">
            <v>0</v>
          </cell>
        </row>
        <row r="282">
          <cell r="AM282">
            <v>0</v>
          </cell>
          <cell r="AN282">
            <v>0</v>
          </cell>
          <cell r="AO282">
            <v>0</v>
          </cell>
        </row>
        <row r="283">
          <cell r="AM283">
            <v>0</v>
          </cell>
          <cell r="AN283">
            <v>0</v>
          </cell>
          <cell r="AO28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>
        <row r="10">
          <cell r="AM10" t="str">
            <v>EX7918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AM10" t="str">
            <v>EX7918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0">
          <cell r="AM10" t="str">
            <v>EX7918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0">
          <cell r="AM10" t="str">
            <v>EX7918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10">
          <cell r="AM10" t="str">
            <v>EX7918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ata"/>
      <sheetName val="Comp Avail"/>
      <sheetName val="Thiess Week 16"/>
      <sheetName val="Summary"/>
      <sheetName val="Sheet3"/>
      <sheetName val="Comp_Avail"/>
      <sheetName val="Thiess_Week_16"/>
      <sheetName val="Comp_Avail1"/>
      <sheetName val="Thiess_Week_16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C PROJECT"/>
      <sheetName val="INPUT"/>
      <sheetName val="RESULT"/>
      <sheetName val="Rekonsel"/>
      <sheetName val="Advance Payment"/>
      <sheetName val="Invoice Payment"/>
      <sheetName val="Cash on hand"/>
      <sheetName val="Sheet1"/>
      <sheetName val="Bjm"/>
      <sheetName val="site"/>
      <sheetName val="COAC_PROJECT"/>
      <sheetName val="Advance_Payment"/>
      <sheetName val="Invoice_Payment"/>
      <sheetName val="Cash_on_hand"/>
      <sheetName val="Summary_Monthly"/>
      <sheetName val="23 Day"/>
      <sheetName val="23 Night"/>
    </sheetNames>
    <sheetDataSet>
      <sheetData sheetId="0" refreshError="1">
        <row r="81">
          <cell r="C81" t="str">
            <v>Other Production Related Expenses</v>
          </cell>
        </row>
        <row r="82">
          <cell r="C82" t="str">
            <v>Parts D/T Sea-Rd</v>
          </cell>
        </row>
        <row r="83">
          <cell r="C83" t="str">
            <v>Parts Truck Exp</v>
          </cell>
        </row>
        <row r="84">
          <cell r="C84" t="str">
            <v>Parts Delvr. Exp</v>
          </cell>
        </row>
        <row r="85">
          <cell r="C85" t="str">
            <v>Pts Misc</v>
          </cell>
        </row>
        <row r="86">
          <cell r="C86" t="str">
            <v>Oil</v>
          </cell>
        </row>
        <row r="87">
          <cell r="C87" t="str">
            <v>Grease</v>
          </cell>
        </row>
        <row r="88">
          <cell r="C88" t="str">
            <v>Petrol</v>
          </cell>
        </row>
        <row r="89">
          <cell r="C89" t="str">
            <v>Delivery Revisit Unit</v>
          </cell>
        </row>
        <row r="90">
          <cell r="C90" t="str">
            <v>E.B Medical</v>
          </cell>
        </row>
        <row r="91">
          <cell r="C91" t="str">
            <v>E.B Daily Allowance</v>
          </cell>
        </row>
        <row r="92">
          <cell r="C92" t="str">
            <v>E.B House rent</v>
          </cell>
        </row>
        <row r="93">
          <cell r="C93" t="str">
            <v>E.B PhoneTax Disallow</v>
          </cell>
        </row>
        <row r="94">
          <cell r="C94" t="str">
            <v>Workoutfits</v>
          </cell>
        </row>
        <row r="95">
          <cell r="C95" t="str">
            <v>Drink &amp; Canteen</v>
          </cell>
        </row>
        <row r="96">
          <cell r="C96" t="str">
            <v>Travel Expense</v>
          </cell>
        </row>
        <row r="97">
          <cell r="C97" t="str">
            <v>Moving Expense</v>
          </cell>
        </row>
        <row r="98">
          <cell r="C98" t="str">
            <v>Entertainment</v>
          </cell>
        </row>
        <row r="99">
          <cell r="C99" t="str">
            <v>Vehicle Rental</v>
          </cell>
        </row>
        <row r="100">
          <cell r="C100" t="str">
            <v>Vehicle Rent Tax Dis</v>
          </cell>
        </row>
        <row r="101">
          <cell r="C101" t="str">
            <v>Communication Tlpn</v>
          </cell>
        </row>
        <row r="102">
          <cell r="C102" t="str">
            <v>Telex, Fax and Radio</v>
          </cell>
        </row>
        <row r="103">
          <cell r="C103" t="str">
            <v>Comm Mail &amp; Cour Svc</v>
          </cell>
        </row>
        <row r="104">
          <cell r="C104" t="str">
            <v>Promo &amp; Adv Publ</v>
          </cell>
        </row>
        <row r="105">
          <cell r="C105" t="str">
            <v>Conference Cost</v>
          </cell>
        </row>
        <row r="106">
          <cell r="C106" t="str">
            <v>Employee Training</v>
          </cell>
        </row>
        <row r="107">
          <cell r="C107" t="str">
            <v>Printing &amp; stat. exp</v>
          </cell>
        </row>
        <row r="108">
          <cell r="C108" t="str">
            <v>Adviser Consult Fee</v>
          </cell>
        </row>
        <row r="109">
          <cell r="C109" t="str">
            <v>Adviser Legal Advice</v>
          </cell>
        </row>
        <row r="110">
          <cell r="C110" t="str">
            <v>Adviser Audit Fee</v>
          </cell>
        </row>
        <row r="111">
          <cell r="C111" t="str">
            <v>Donation</v>
          </cell>
        </row>
        <row r="112">
          <cell r="C112" t="str">
            <v>Tender Expenses</v>
          </cell>
        </row>
        <row r="113">
          <cell r="C113" t="str">
            <v>OH Others Design &amp; Artwork</v>
          </cell>
        </row>
        <row r="114">
          <cell r="C114" t="str">
            <v>OH Others License &amp; Leviess</v>
          </cell>
        </row>
        <row r="115">
          <cell r="C115" t="str">
            <v>OH Others Recruitm</v>
          </cell>
        </row>
        <row r="116">
          <cell r="C116" t="str">
            <v>OH Oths Non All Item</v>
          </cell>
        </row>
        <row r="117">
          <cell r="C117" t="str">
            <v>Office Rental</v>
          </cell>
        </row>
        <row r="118">
          <cell r="C118" t="str">
            <v>R&amp;M Workshop TC Eq</v>
          </cell>
        </row>
        <row r="119">
          <cell r="C119" t="str">
            <v>Repair &amp; Maint Bldg</v>
          </cell>
        </row>
        <row r="120">
          <cell r="C120" t="str">
            <v>Small Fixture &amp; Equi</v>
          </cell>
        </row>
        <row r="121">
          <cell r="C121" t="str">
            <v>Repair Maint Vehicle</v>
          </cell>
        </row>
        <row r="122">
          <cell r="C122" t="str">
            <v>Repr Maint Facility</v>
          </cell>
        </row>
        <row r="123">
          <cell r="C123" t="str">
            <v>Repr Maint Gen - Act</v>
          </cell>
        </row>
        <row r="124">
          <cell r="C124" t="str">
            <v>Facility Water</v>
          </cell>
        </row>
        <row r="125">
          <cell r="C125" t="str">
            <v>Facility Electricity</v>
          </cell>
        </row>
        <row r="126">
          <cell r="C126" t="str">
            <v>Bank Charges</v>
          </cell>
        </row>
        <row r="127">
          <cell r="C127" t="str">
            <v>Interest Internal</v>
          </cell>
        </row>
        <row r="128">
          <cell r="C128" t="str">
            <v>Deferred Tax Asset</v>
          </cell>
        </row>
        <row r="129">
          <cell r="C129" t="str">
            <v>Deferred Tax Liab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>
        <row r="81">
          <cell r="C81" t="str">
            <v>Other Production Related Expenses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Validasi"/>
      <sheetName val="calc_presentasi"/>
      <sheetName val="calc_total"/>
      <sheetName val="calc_chart"/>
      <sheetName val="INPUT &gt;&gt;&gt;"/>
      <sheetName val="REPORT &gt;&gt;&gt;"/>
      <sheetName val="calc_top10"/>
      <sheetName val="STT"/>
      <sheetName val="Inspeksi"/>
      <sheetName val="DKP"/>
      <sheetName val="LPB"/>
      <sheetName val="Temuan Bahaya"/>
      <sheetName val="Individual Achievement"/>
    </sheetNames>
    <sheetDataSet>
      <sheetData sheetId="0">
        <row r="5">
          <cell r="R5" t="str">
            <v>okky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Bonus"/>
      <sheetName val="Sheet1"/>
      <sheetName val="24 Day"/>
      <sheetName val="Summary"/>
    </sheetNames>
    <sheetDataSet>
      <sheetData sheetId="0" refreshError="1">
        <row r="8">
          <cell r="B8" t="str">
            <v>ABDUL HAKIM</v>
          </cell>
          <cell r="C8">
            <v>18418</v>
          </cell>
          <cell r="D8" t="str">
            <v>P</v>
          </cell>
          <cell r="E8" t="str">
            <v>K</v>
          </cell>
          <cell r="F8" t="str">
            <v>PLANT</v>
          </cell>
          <cell r="G8" t="str">
            <v>SUPPORT</v>
          </cell>
          <cell r="H8" t="str">
            <v>Driver Service Truck (Plant 1B)</v>
          </cell>
          <cell r="I8" t="str">
            <v>M3</v>
          </cell>
          <cell r="J8">
            <v>1219000</v>
          </cell>
          <cell r="K8">
            <v>0</v>
          </cell>
          <cell r="L8">
            <v>25000</v>
          </cell>
          <cell r="M8">
            <v>15000</v>
          </cell>
          <cell r="N8">
            <v>39997</v>
          </cell>
        </row>
        <row r="9">
          <cell r="B9" t="str">
            <v>ABDUL HAMID</v>
          </cell>
          <cell r="C9">
            <v>11098</v>
          </cell>
          <cell r="D9" t="str">
            <v>P</v>
          </cell>
          <cell r="E9" t="str">
            <v>P</v>
          </cell>
          <cell r="F9" t="str">
            <v>OPERATION</v>
          </cell>
          <cell r="G9" t="str">
            <v>OPERATION</v>
          </cell>
          <cell r="H9" t="str">
            <v>Operator IV D</v>
          </cell>
          <cell r="I9" t="str">
            <v>M1</v>
          </cell>
          <cell r="J9">
            <v>1364000</v>
          </cell>
          <cell r="K9">
            <v>325000</v>
          </cell>
          <cell r="L9">
            <v>25000</v>
          </cell>
          <cell r="M9">
            <v>15000</v>
          </cell>
          <cell r="N9">
            <v>38533</v>
          </cell>
        </row>
        <row r="10">
          <cell r="B10" t="str">
            <v>AHMAD NAWAWI</v>
          </cell>
          <cell r="C10">
            <v>10937</v>
          </cell>
          <cell r="D10" t="str">
            <v>P</v>
          </cell>
          <cell r="E10" t="str">
            <v>P</v>
          </cell>
          <cell r="F10" t="str">
            <v>OPERATION</v>
          </cell>
          <cell r="G10" t="str">
            <v>OPERATION</v>
          </cell>
          <cell r="H10" t="str">
            <v>Operator III D (ADT)</v>
          </cell>
          <cell r="I10" t="str">
            <v>S</v>
          </cell>
          <cell r="J10">
            <v>1364000</v>
          </cell>
          <cell r="K10">
            <v>325000</v>
          </cell>
          <cell r="L10">
            <v>25000</v>
          </cell>
          <cell r="M10">
            <v>15000</v>
          </cell>
          <cell r="N10">
            <v>38510</v>
          </cell>
        </row>
        <row r="11">
          <cell r="B11" t="str">
            <v>AIDIL ADHA</v>
          </cell>
          <cell r="C11">
            <v>16943</v>
          </cell>
          <cell r="D11" t="str">
            <v>P</v>
          </cell>
          <cell r="E11" t="str">
            <v>K</v>
          </cell>
          <cell r="F11" t="str">
            <v>OPERATION</v>
          </cell>
          <cell r="G11" t="str">
            <v>SUPPORT</v>
          </cell>
          <cell r="H11" t="str">
            <v>Operation Helper</v>
          </cell>
          <cell r="I11" t="str">
            <v>M1</v>
          </cell>
          <cell r="J11">
            <v>1160000</v>
          </cell>
          <cell r="K11">
            <v>0</v>
          </cell>
          <cell r="L11">
            <v>25000</v>
          </cell>
          <cell r="M11">
            <v>15000</v>
          </cell>
          <cell r="N11">
            <v>39718</v>
          </cell>
        </row>
        <row r="12">
          <cell r="B12" t="str">
            <v>AJANG</v>
          </cell>
          <cell r="C12">
            <v>5310</v>
          </cell>
          <cell r="D12" t="str">
            <v>P</v>
          </cell>
          <cell r="E12" t="str">
            <v>P</v>
          </cell>
          <cell r="F12" t="str">
            <v>WAREHOUSE</v>
          </cell>
          <cell r="G12" t="str">
            <v>SUPPORT</v>
          </cell>
          <cell r="H12" t="str">
            <v>Trainee Mechanic</v>
          </cell>
          <cell r="I12" t="str">
            <v>M3</v>
          </cell>
          <cell r="J12">
            <v>1357000</v>
          </cell>
          <cell r="K12">
            <v>325000</v>
          </cell>
          <cell r="L12">
            <v>25000</v>
          </cell>
          <cell r="M12">
            <v>15000</v>
          </cell>
          <cell r="N12">
            <v>37410</v>
          </cell>
        </row>
        <row r="13">
          <cell r="B13" t="str">
            <v>ALWI B</v>
          </cell>
          <cell r="C13">
            <v>6203</v>
          </cell>
          <cell r="D13" t="str">
            <v>P</v>
          </cell>
          <cell r="E13" t="str">
            <v>P</v>
          </cell>
          <cell r="F13" t="str">
            <v>PLANT</v>
          </cell>
          <cell r="G13" t="str">
            <v>SUPPORT</v>
          </cell>
          <cell r="H13" t="str">
            <v>Trainee Mechanic</v>
          </cell>
          <cell r="I13" t="str">
            <v>M1</v>
          </cell>
          <cell r="J13">
            <v>1426000</v>
          </cell>
          <cell r="K13">
            <v>325000</v>
          </cell>
          <cell r="L13">
            <v>25000</v>
          </cell>
          <cell r="M13">
            <v>15000</v>
          </cell>
          <cell r="N13">
            <v>37579</v>
          </cell>
        </row>
        <row r="14">
          <cell r="B14" t="str">
            <v>AMIR</v>
          </cell>
          <cell r="C14">
            <v>17913</v>
          </cell>
          <cell r="D14" t="str">
            <v>P</v>
          </cell>
          <cell r="E14" t="str">
            <v>A</v>
          </cell>
          <cell r="F14" t="str">
            <v>OPERATION</v>
          </cell>
          <cell r="G14" t="str">
            <v>SUPPORT</v>
          </cell>
          <cell r="H14" t="str">
            <v>Checker</v>
          </cell>
          <cell r="I14" t="str">
            <v>S</v>
          </cell>
          <cell r="J14">
            <v>1150000</v>
          </cell>
          <cell r="K14">
            <v>0</v>
          </cell>
          <cell r="L14">
            <v>25000</v>
          </cell>
          <cell r="M14">
            <v>15000</v>
          </cell>
          <cell r="N14">
            <v>39905</v>
          </cell>
        </row>
        <row r="15">
          <cell r="B15" t="str">
            <v>ANDI ANTO</v>
          </cell>
          <cell r="C15">
            <v>8534</v>
          </cell>
          <cell r="D15" t="str">
            <v>P</v>
          </cell>
          <cell r="E15" t="str">
            <v>P</v>
          </cell>
          <cell r="F15" t="str">
            <v>OPERATION</v>
          </cell>
          <cell r="G15" t="str">
            <v>OPERATION</v>
          </cell>
          <cell r="H15" t="str">
            <v>Operator III C (OHT)</v>
          </cell>
          <cell r="I15" t="str">
            <v>M3</v>
          </cell>
          <cell r="J15">
            <v>1398000</v>
          </cell>
          <cell r="K15">
            <v>325000</v>
          </cell>
          <cell r="L15">
            <v>25000</v>
          </cell>
          <cell r="M15">
            <v>15000</v>
          </cell>
          <cell r="N15">
            <v>38099</v>
          </cell>
        </row>
        <row r="16">
          <cell r="B16" t="str">
            <v>ANDI SOLIHIN</v>
          </cell>
          <cell r="C16">
            <v>11494</v>
          </cell>
          <cell r="D16" t="str">
            <v>P</v>
          </cell>
          <cell r="E16" t="str">
            <v>P</v>
          </cell>
          <cell r="F16" t="str">
            <v>OPERATION</v>
          </cell>
          <cell r="G16" t="str">
            <v>OPERATION</v>
          </cell>
          <cell r="H16" t="str">
            <v>Operator III D (ADT)</v>
          </cell>
          <cell r="I16" t="str">
            <v>M2</v>
          </cell>
          <cell r="J16">
            <v>1364000</v>
          </cell>
          <cell r="K16">
            <v>325000</v>
          </cell>
          <cell r="L16">
            <v>25000</v>
          </cell>
          <cell r="M16">
            <v>15000</v>
          </cell>
          <cell r="N16">
            <v>38585</v>
          </cell>
        </row>
        <row r="17">
          <cell r="B17" t="str">
            <v>ANDI SUDIRMAN</v>
          </cell>
          <cell r="C17">
            <v>16537</v>
          </cell>
          <cell r="D17" t="str">
            <v>P</v>
          </cell>
          <cell r="E17" t="str">
            <v>K</v>
          </cell>
          <cell r="F17" t="str">
            <v>OPERATION</v>
          </cell>
          <cell r="G17" t="str">
            <v>OPERATION</v>
          </cell>
          <cell r="H17" t="str">
            <v>Operator III D</v>
          </cell>
          <cell r="I17" t="str">
            <v>M2</v>
          </cell>
          <cell r="J17">
            <v>1323000</v>
          </cell>
          <cell r="K17">
            <v>0</v>
          </cell>
          <cell r="L17">
            <v>25000</v>
          </cell>
          <cell r="M17">
            <v>15000</v>
          </cell>
          <cell r="N17">
            <v>39665</v>
          </cell>
        </row>
        <row r="18">
          <cell r="B18" t="str">
            <v>ANDI SUYUTI</v>
          </cell>
          <cell r="C18">
            <v>1341</v>
          </cell>
          <cell r="D18" t="str">
            <v>P</v>
          </cell>
          <cell r="E18" t="str">
            <v>P</v>
          </cell>
          <cell r="F18" t="str">
            <v>ADMIN</v>
          </cell>
          <cell r="G18" t="str">
            <v>SUPPORT</v>
          </cell>
          <cell r="H18" t="str">
            <v>Operator III C (OHT)</v>
          </cell>
          <cell r="I18" t="str">
            <v>M2</v>
          </cell>
          <cell r="J18">
            <v>1398000</v>
          </cell>
          <cell r="K18">
            <v>325000</v>
          </cell>
          <cell r="L18">
            <v>25000</v>
          </cell>
          <cell r="M18">
            <v>15000</v>
          </cell>
          <cell r="N18">
            <v>37757</v>
          </cell>
        </row>
        <row r="19">
          <cell r="B19" t="str">
            <v>ANWAR</v>
          </cell>
          <cell r="C19">
            <v>14324</v>
          </cell>
          <cell r="D19" t="str">
            <v>P</v>
          </cell>
          <cell r="E19" t="str">
            <v>P</v>
          </cell>
          <cell r="F19" t="str">
            <v>PLANT</v>
          </cell>
          <cell r="G19" t="str">
            <v>SUPPORT</v>
          </cell>
          <cell r="H19" t="str">
            <v>Plant Helper</v>
          </cell>
          <cell r="I19" t="str">
            <v>S</v>
          </cell>
          <cell r="J19">
            <v>1219000</v>
          </cell>
          <cell r="K19">
            <v>325000</v>
          </cell>
          <cell r="L19">
            <v>25000</v>
          </cell>
          <cell r="M19">
            <v>15000</v>
          </cell>
          <cell r="N19">
            <v>39228</v>
          </cell>
        </row>
        <row r="20">
          <cell r="B20" t="str">
            <v>ARDIANSYAH EFENDI</v>
          </cell>
          <cell r="C20">
            <v>15768</v>
          </cell>
          <cell r="D20" t="str">
            <v>P</v>
          </cell>
          <cell r="E20" t="str">
            <v>K</v>
          </cell>
          <cell r="F20" t="str">
            <v>PLANT</v>
          </cell>
          <cell r="G20" t="str">
            <v>SUPPORT</v>
          </cell>
          <cell r="H20" t="str">
            <v>Plant Helper</v>
          </cell>
          <cell r="I20" t="str">
            <v>M1</v>
          </cell>
          <cell r="J20">
            <v>1153000</v>
          </cell>
          <cell r="K20">
            <v>0</v>
          </cell>
          <cell r="L20">
            <v>25000</v>
          </cell>
          <cell r="M20">
            <v>15000</v>
          </cell>
          <cell r="N20">
            <v>39533</v>
          </cell>
        </row>
        <row r="21">
          <cell r="B21" t="str">
            <v>ARIANSYAH</v>
          </cell>
          <cell r="C21">
            <v>11485</v>
          </cell>
          <cell r="D21" t="str">
            <v>P</v>
          </cell>
          <cell r="E21" t="str">
            <v>P</v>
          </cell>
          <cell r="F21" t="str">
            <v>OPERATION</v>
          </cell>
          <cell r="G21" t="str">
            <v>OPERATION</v>
          </cell>
          <cell r="H21" t="str">
            <v>Operator III D (ADT)</v>
          </cell>
          <cell r="I21" t="str">
            <v>M</v>
          </cell>
          <cell r="J21">
            <v>1364000</v>
          </cell>
          <cell r="K21">
            <v>325000</v>
          </cell>
          <cell r="L21">
            <v>25000</v>
          </cell>
          <cell r="M21">
            <v>15000</v>
          </cell>
          <cell r="N21">
            <v>38577</v>
          </cell>
        </row>
        <row r="22">
          <cell r="B22" t="str">
            <v>ARIF HUSAINI</v>
          </cell>
          <cell r="C22">
            <v>5464</v>
          </cell>
          <cell r="D22" t="str">
            <v>P</v>
          </cell>
          <cell r="E22" t="str">
            <v>P</v>
          </cell>
          <cell r="F22" t="str">
            <v>OPERATION</v>
          </cell>
          <cell r="G22" t="str">
            <v>OPERATION</v>
          </cell>
          <cell r="H22" t="str">
            <v>Operator II C</v>
          </cell>
          <cell r="I22" t="str">
            <v>M1</v>
          </cell>
          <cell r="J22">
            <v>1596000</v>
          </cell>
          <cell r="K22">
            <v>325000</v>
          </cell>
          <cell r="L22">
            <v>25000</v>
          </cell>
          <cell r="M22">
            <v>15000</v>
          </cell>
          <cell r="N22">
            <v>37425</v>
          </cell>
        </row>
        <row r="23">
          <cell r="B23" t="str">
            <v>ASRIANSYAH</v>
          </cell>
          <cell r="C23">
            <v>12792</v>
          </cell>
          <cell r="D23" t="str">
            <v>P</v>
          </cell>
          <cell r="E23" t="str">
            <v>P</v>
          </cell>
          <cell r="F23" t="str">
            <v>OPERATION</v>
          </cell>
          <cell r="G23" t="str">
            <v>OPERATION</v>
          </cell>
          <cell r="H23" t="str">
            <v>Operator III C</v>
          </cell>
          <cell r="I23" t="str">
            <v>S</v>
          </cell>
          <cell r="J23">
            <v>1398000</v>
          </cell>
          <cell r="K23">
            <v>325000</v>
          </cell>
          <cell r="L23">
            <v>25000</v>
          </cell>
          <cell r="M23">
            <v>15000</v>
          </cell>
          <cell r="N23">
            <v>38870</v>
          </cell>
        </row>
        <row r="24">
          <cell r="B24" t="str">
            <v>AWALUDIN</v>
          </cell>
          <cell r="C24">
            <v>7188</v>
          </cell>
          <cell r="D24" t="str">
            <v>P</v>
          </cell>
          <cell r="E24" t="str">
            <v>P</v>
          </cell>
          <cell r="F24" t="str">
            <v>OPERATION</v>
          </cell>
          <cell r="G24" t="str">
            <v>OPERATION</v>
          </cell>
          <cell r="H24" t="str">
            <v>Operator IV C (Nissan)</v>
          </cell>
          <cell r="I24" t="str">
            <v>S</v>
          </cell>
          <cell r="J24">
            <v>1364000</v>
          </cell>
          <cell r="K24">
            <v>325000</v>
          </cell>
          <cell r="L24">
            <v>25000</v>
          </cell>
          <cell r="M24">
            <v>15000</v>
          </cell>
          <cell r="N24">
            <v>37800</v>
          </cell>
        </row>
        <row r="25">
          <cell r="B25" t="str">
            <v>BASRI</v>
          </cell>
          <cell r="C25">
            <v>10941</v>
          </cell>
          <cell r="D25" t="str">
            <v>P</v>
          </cell>
          <cell r="E25" t="str">
            <v>P</v>
          </cell>
          <cell r="F25" t="str">
            <v>OPERATION</v>
          </cell>
          <cell r="G25" t="str">
            <v>OPERATION</v>
          </cell>
          <cell r="H25" t="str">
            <v>Operator III D (ADT)</v>
          </cell>
          <cell r="I25" t="str">
            <v>M1</v>
          </cell>
          <cell r="J25">
            <v>1364000</v>
          </cell>
          <cell r="K25">
            <v>325000</v>
          </cell>
          <cell r="L25">
            <v>25000</v>
          </cell>
          <cell r="M25">
            <v>15000</v>
          </cell>
          <cell r="N25">
            <v>38510</v>
          </cell>
        </row>
        <row r="26">
          <cell r="B26" t="str">
            <v>BURHANUDDIN</v>
          </cell>
          <cell r="C26">
            <v>18294</v>
          </cell>
          <cell r="D26" t="str">
            <v>P</v>
          </cell>
          <cell r="E26" t="str">
            <v>A</v>
          </cell>
          <cell r="F26" t="str">
            <v>OPERATION</v>
          </cell>
          <cell r="G26" t="str">
            <v>SUPPORT</v>
          </cell>
          <cell r="H26" t="str">
            <v>Checker</v>
          </cell>
          <cell r="I26" t="str">
            <v>M1</v>
          </cell>
          <cell r="J26">
            <v>1160000</v>
          </cell>
          <cell r="K26">
            <v>0</v>
          </cell>
          <cell r="L26">
            <v>25000</v>
          </cell>
          <cell r="M26">
            <v>15000</v>
          </cell>
          <cell r="N26">
            <v>38920</v>
          </cell>
        </row>
        <row r="27">
          <cell r="B27" t="str">
            <v>DAHLAN</v>
          </cell>
          <cell r="C27">
            <v>8801</v>
          </cell>
          <cell r="D27" t="str">
            <v>P</v>
          </cell>
          <cell r="E27" t="str">
            <v>P</v>
          </cell>
          <cell r="F27" t="str">
            <v>OPERATION</v>
          </cell>
          <cell r="G27" t="str">
            <v>OPERATION</v>
          </cell>
          <cell r="H27" t="str">
            <v>Operator II D (Grader)</v>
          </cell>
          <cell r="I27" t="str">
            <v>M3</v>
          </cell>
          <cell r="J27">
            <v>1596000</v>
          </cell>
          <cell r="K27">
            <v>325000</v>
          </cell>
          <cell r="L27">
            <v>25000</v>
          </cell>
          <cell r="M27">
            <v>15000</v>
          </cell>
          <cell r="N27">
            <v>38142</v>
          </cell>
        </row>
        <row r="28">
          <cell r="B28" t="str">
            <v>EDISON NAINGGOLAN</v>
          </cell>
          <cell r="C28">
            <v>15484</v>
          </cell>
          <cell r="D28" t="str">
            <v>P</v>
          </cell>
          <cell r="E28" t="str">
            <v>K</v>
          </cell>
          <cell r="F28" t="str">
            <v>PLANT</v>
          </cell>
          <cell r="G28" t="str">
            <v>SUPPORT</v>
          </cell>
          <cell r="H28" t="str">
            <v>Plant Administrator</v>
          </cell>
          <cell r="I28" t="str">
            <v>S</v>
          </cell>
          <cell r="J28">
            <v>1357000</v>
          </cell>
          <cell r="K28">
            <v>0</v>
          </cell>
          <cell r="L28">
            <v>25000</v>
          </cell>
          <cell r="M28">
            <v>15000</v>
          </cell>
          <cell r="N28">
            <v>39482</v>
          </cell>
        </row>
        <row r="29">
          <cell r="B29" t="str">
            <v>ERWIN ARYANTO</v>
          </cell>
          <cell r="C29">
            <v>6094</v>
          </cell>
          <cell r="D29" t="str">
            <v>P</v>
          </cell>
          <cell r="E29" t="str">
            <v>P</v>
          </cell>
          <cell r="F29" t="str">
            <v>OPERATION</v>
          </cell>
          <cell r="G29" t="str">
            <v>OPERATION</v>
          </cell>
          <cell r="H29" t="str">
            <v>Operator II D (RH-40)</v>
          </cell>
          <cell r="I29" t="str">
            <v>M2</v>
          </cell>
          <cell r="J29">
            <v>1596000</v>
          </cell>
          <cell r="K29">
            <v>325000</v>
          </cell>
          <cell r="L29">
            <v>25000</v>
          </cell>
          <cell r="M29">
            <v>15000</v>
          </cell>
          <cell r="N29">
            <v>37550</v>
          </cell>
        </row>
        <row r="30">
          <cell r="B30" t="str">
            <v>FADLY</v>
          </cell>
          <cell r="C30">
            <v>6877</v>
          </cell>
          <cell r="D30" t="str">
            <v>P</v>
          </cell>
          <cell r="E30" t="str">
            <v>P</v>
          </cell>
          <cell r="F30" t="str">
            <v>OPERATION</v>
          </cell>
          <cell r="G30" t="str">
            <v>OPERATION</v>
          </cell>
          <cell r="H30" t="str">
            <v>Operator II D</v>
          </cell>
          <cell r="I30" t="str">
            <v>M3</v>
          </cell>
          <cell r="J30">
            <v>1557000</v>
          </cell>
          <cell r="K30">
            <v>325000</v>
          </cell>
          <cell r="L30">
            <v>25000</v>
          </cell>
          <cell r="M30">
            <v>15000</v>
          </cell>
          <cell r="N30">
            <v>37735</v>
          </cell>
        </row>
        <row r="31">
          <cell r="B31" t="str">
            <v>FAHRUNI EFFENDI</v>
          </cell>
          <cell r="C31">
            <v>10477</v>
          </cell>
          <cell r="D31" t="str">
            <v>P</v>
          </cell>
          <cell r="E31" t="str">
            <v>P</v>
          </cell>
          <cell r="F31" t="str">
            <v>ENGINEERING</v>
          </cell>
          <cell r="G31" t="str">
            <v>SUPPORT</v>
          </cell>
          <cell r="H31" t="str">
            <v>Dispatcher</v>
          </cell>
          <cell r="I31" t="str">
            <v>S</v>
          </cell>
          <cell r="J31">
            <v>1331000</v>
          </cell>
          <cell r="K31">
            <v>325000</v>
          </cell>
          <cell r="L31">
            <v>25000</v>
          </cell>
          <cell r="M31">
            <v>15000</v>
          </cell>
          <cell r="N31">
            <v>38406</v>
          </cell>
        </row>
        <row r="32">
          <cell r="B32" t="str">
            <v>FIRMAN</v>
          </cell>
          <cell r="C32">
            <v>17799</v>
          </cell>
          <cell r="D32" t="str">
            <v>P</v>
          </cell>
          <cell r="E32" t="str">
            <v>A</v>
          </cell>
          <cell r="F32" t="str">
            <v>OPERATION</v>
          </cell>
          <cell r="G32" t="str">
            <v>SUPPORT</v>
          </cell>
          <cell r="H32" t="str">
            <v>Spotter</v>
          </cell>
          <cell r="I32" t="str">
            <v>M1</v>
          </cell>
          <cell r="J32">
            <v>1160000</v>
          </cell>
          <cell r="K32">
            <v>0</v>
          </cell>
          <cell r="L32">
            <v>25000</v>
          </cell>
          <cell r="M32">
            <v>15000</v>
          </cell>
          <cell r="N32">
            <v>39874</v>
          </cell>
        </row>
        <row r="33">
          <cell r="B33" t="str">
            <v>GURUH WIBOWO PRASETYO</v>
          </cell>
          <cell r="C33">
            <v>1361</v>
          </cell>
          <cell r="D33" t="str">
            <v>P</v>
          </cell>
          <cell r="E33" t="str">
            <v>P</v>
          </cell>
          <cell r="F33" t="str">
            <v>PLANT</v>
          </cell>
          <cell r="G33" t="str">
            <v>SUPPORT</v>
          </cell>
          <cell r="H33" t="str">
            <v>Mechanic I</v>
          </cell>
          <cell r="J33">
            <v>1589000</v>
          </cell>
          <cell r="K33">
            <v>325000</v>
          </cell>
          <cell r="L33">
            <v>25000</v>
          </cell>
          <cell r="M33">
            <v>15000</v>
          </cell>
          <cell r="N33">
            <v>36982</v>
          </cell>
        </row>
        <row r="34">
          <cell r="B34" t="str">
            <v>HAIRUL SALEH</v>
          </cell>
          <cell r="C34">
            <v>11492</v>
          </cell>
          <cell r="D34" t="str">
            <v>P</v>
          </cell>
          <cell r="E34" t="str">
            <v>P</v>
          </cell>
          <cell r="F34" t="str">
            <v>OPERATION</v>
          </cell>
          <cell r="G34" t="str">
            <v>OPERATION</v>
          </cell>
          <cell r="H34" t="str">
            <v>Operator III D (ADT)</v>
          </cell>
          <cell r="I34" t="str">
            <v>M3</v>
          </cell>
          <cell r="J34">
            <v>1364000</v>
          </cell>
          <cell r="K34">
            <v>325000</v>
          </cell>
          <cell r="L34">
            <v>25000</v>
          </cell>
          <cell r="M34">
            <v>15000</v>
          </cell>
          <cell r="N34">
            <v>38588</v>
          </cell>
        </row>
        <row r="35">
          <cell r="B35" t="str">
            <v>HERIANSYAH</v>
          </cell>
          <cell r="C35">
            <v>8146</v>
          </cell>
          <cell r="D35" t="str">
            <v>P</v>
          </cell>
          <cell r="E35" t="str">
            <v>P</v>
          </cell>
          <cell r="F35" t="str">
            <v>PLANT</v>
          </cell>
          <cell r="G35" t="str">
            <v>SUPPORT</v>
          </cell>
          <cell r="H35" t="str">
            <v>Trainee Mechanic</v>
          </cell>
          <cell r="I35" t="str">
            <v>M</v>
          </cell>
          <cell r="J35">
            <v>1426000</v>
          </cell>
          <cell r="K35">
            <v>325000</v>
          </cell>
          <cell r="L35">
            <v>25000</v>
          </cell>
          <cell r="M35">
            <v>15000</v>
          </cell>
          <cell r="N35">
            <v>38047</v>
          </cell>
        </row>
        <row r="36">
          <cell r="B36" t="str">
            <v>INRIK</v>
          </cell>
          <cell r="C36">
            <v>10995</v>
          </cell>
          <cell r="D36" t="str">
            <v>P</v>
          </cell>
          <cell r="E36" t="str">
            <v>P</v>
          </cell>
          <cell r="F36" t="str">
            <v>OPERATION</v>
          </cell>
          <cell r="G36" t="str">
            <v>OPERATION</v>
          </cell>
          <cell r="H36" t="str">
            <v>Operator III D (ADT 740)</v>
          </cell>
          <cell r="I36" t="str">
            <v>M1</v>
          </cell>
          <cell r="J36">
            <v>1364000</v>
          </cell>
          <cell r="K36">
            <v>325000</v>
          </cell>
          <cell r="L36">
            <v>25000</v>
          </cell>
          <cell r="M36">
            <v>15000</v>
          </cell>
          <cell r="N36">
            <v>38518</v>
          </cell>
        </row>
        <row r="37">
          <cell r="B37" t="str">
            <v>IRHAM</v>
          </cell>
          <cell r="C37">
            <v>11092</v>
          </cell>
          <cell r="D37" t="str">
            <v>P</v>
          </cell>
          <cell r="E37" t="str">
            <v>P</v>
          </cell>
          <cell r="F37" t="str">
            <v>OPERATION</v>
          </cell>
          <cell r="G37" t="str">
            <v>OPERATION</v>
          </cell>
          <cell r="H37" t="str">
            <v>Operator III D</v>
          </cell>
          <cell r="I37" t="str">
            <v>S</v>
          </cell>
          <cell r="J37">
            <v>1364000</v>
          </cell>
          <cell r="K37">
            <v>325000</v>
          </cell>
          <cell r="L37">
            <v>25000</v>
          </cell>
          <cell r="M37">
            <v>15000</v>
          </cell>
          <cell r="N37">
            <v>38533</v>
          </cell>
        </row>
        <row r="38">
          <cell r="B38" t="str">
            <v>IRWAN HARIYANTO</v>
          </cell>
          <cell r="C38">
            <v>10984</v>
          </cell>
          <cell r="D38" t="str">
            <v>P</v>
          </cell>
          <cell r="E38" t="str">
            <v>P</v>
          </cell>
          <cell r="F38" t="str">
            <v>PLANT</v>
          </cell>
          <cell r="G38" t="str">
            <v>SUPPORT</v>
          </cell>
          <cell r="H38" t="str">
            <v>Plant Helper</v>
          </cell>
          <cell r="I38" t="str">
            <v>S</v>
          </cell>
          <cell r="J38">
            <v>1280000</v>
          </cell>
          <cell r="K38">
            <v>325000</v>
          </cell>
          <cell r="L38">
            <v>25000</v>
          </cell>
          <cell r="M38">
            <v>15000</v>
          </cell>
          <cell r="N38">
            <v>38508</v>
          </cell>
        </row>
        <row r="39">
          <cell r="B39" t="str">
            <v>ISWANDI</v>
          </cell>
          <cell r="C39">
            <v>13008</v>
          </cell>
          <cell r="D39" t="str">
            <v>P</v>
          </cell>
          <cell r="E39" t="str">
            <v>P</v>
          </cell>
          <cell r="F39" t="str">
            <v>ENGINEERING</v>
          </cell>
          <cell r="G39" t="str">
            <v>SUPPORT</v>
          </cell>
          <cell r="H39" t="str">
            <v>Surveyor Helper</v>
          </cell>
          <cell r="I39" t="str">
            <v>S</v>
          </cell>
          <cell r="J39">
            <v>1324000</v>
          </cell>
          <cell r="K39">
            <v>325000</v>
          </cell>
          <cell r="L39">
            <v>25000</v>
          </cell>
          <cell r="M39">
            <v>15000</v>
          </cell>
          <cell r="N39">
            <v>38920</v>
          </cell>
        </row>
        <row r="40">
          <cell r="B40" t="str">
            <v>JAMHURI</v>
          </cell>
          <cell r="C40">
            <v>5466</v>
          </cell>
          <cell r="D40" t="str">
            <v>P</v>
          </cell>
          <cell r="E40" t="str">
            <v>P</v>
          </cell>
          <cell r="F40" t="str">
            <v>OPERATION</v>
          </cell>
          <cell r="G40" t="str">
            <v>OPERATION</v>
          </cell>
          <cell r="H40" t="str">
            <v>Operator II C</v>
          </cell>
          <cell r="I40" t="str">
            <v>M3</v>
          </cell>
          <cell r="J40">
            <v>1636000</v>
          </cell>
          <cell r="K40">
            <v>325000</v>
          </cell>
          <cell r="L40">
            <v>25000</v>
          </cell>
          <cell r="M40">
            <v>15000</v>
          </cell>
          <cell r="N40">
            <v>37413</v>
          </cell>
        </row>
        <row r="41">
          <cell r="B41" t="str">
            <v>JOKO SULISTIONO</v>
          </cell>
          <cell r="C41">
            <v>15485</v>
          </cell>
          <cell r="D41" t="str">
            <v>P</v>
          </cell>
          <cell r="E41" t="str">
            <v>K</v>
          </cell>
          <cell r="F41" t="str">
            <v>PLANT</v>
          </cell>
          <cell r="G41" t="str">
            <v>SUPPORT</v>
          </cell>
          <cell r="H41" t="str">
            <v>Plant Administrator</v>
          </cell>
          <cell r="I41" t="str">
            <v>M2</v>
          </cell>
          <cell r="J41">
            <v>1426000</v>
          </cell>
          <cell r="K41">
            <v>0</v>
          </cell>
          <cell r="L41">
            <v>25000</v>
          </cell>
          <cell r="M41">
            <v>15000</v>
          </cell>
          <cell r="N41">
            <v>39482</v>
          </cell>
        </row>
        <row r="42">
          <cell r="B42" t="str">
            <v>JONNY F GUMALAG</v>
          </cell>
          <cell r="C42">
            <v>6873</v>
          </cell>
          <cell r="D42" t="str">
            <v>P</v>
          </cell>
          <cell r="E42" t="str">
            <v>P</v>
          </cell>
          <cell r="F42" t="str">
            <v>OPERATION</v>
          </cell>
          <cell r="G42" t="str">
            <v>OPERATION</v>
          </cell>
          <cell r="H42" t="str">
            <v>Operator I D</v>
          </cell>
          <cell r="I42" t="str">
            <v>M3</v>
          </cell>
          <cell r="J42">
            <v>1778000</v>
          </cell>
          <cell r="K42">
            <v>325000</v>
          </cell>
          <cell r="L42">
            <v>25000</v>
          </cell>
          <cell r="M42">
            <v>15000</v>
          </cell>
          <cell r="N42">
            <v>37727</v>
          </cell>
        </row>
        <row r="43">
          <cell r="B43" t="str">
            <v>JUMADI</v>
          </cell>
          <cell r="C43">
            <v>9331</v>
          </cell>
          <cell r="D43" t="str">
            <v>P</v>
          </cell>
          <cell r="E43" t="str">
            <v>P</v>
          </cell>
          <cell r="F43" t="str">
            <v>PLANT</v>
          </cell>
          <cell r="G43" t="str">
            <v>SUPPORT</v>
          </cell>
          <cell r="H43" t="str">
            <v>Trainee Tyreman</v>
          </cell>
          <cell r="I43" t="str">
            <v>M1</v>
          </cell>
          <cell r="J43">
            <v>1426000</v>
          </cell>
          <cell r="K43">
            <v>325000</v>
          </cell>
          <cell r="L43">
            <v>25000</v>
          </cell>
          <cell r="M43">
            <v>15000</v>
          </cell>
          <cell r="N43">
            <v>38223</v>
          </cell>
        </row>
        <row r="44">
          <cell r="B44" t="str">
            <v>JUMIADI</v>
          </cell>
          <cell r="C44">
            <v>13491</v>
          </cell>
          <cell r="D44" t="str">
            <v>P</v>
          </cell>
          <cell r="E44" t="str">
            <v>P</v>
          </cell>
          <cell r="F44" t="str">
            <v>OPERATION</v>
          </cell>
          <cell r="G44" t="str">
            <v>SUPPORT</v>
          </cell>
          <cell r="H44" t="str">
            <v>Support Equipment Vehicle Driver</v>
          </cell>
          <cell r="I44" t="str">
            <v>M1</v>
          </cell>
          <cell r="J44">
            <v>1195000</v>
          </cell>
          <cell r="K44">
            <v>325000</v>
          </cell>
          <cell r="L44">
            <v>25000</v>
          </cell>
          <cell r="M44">
            <v>15000</v>
          </cell>
          <cell r="N44">
            <v>39056</v>
          </cell>
        </row>
        <row r="45">
          <cell r="B45" t="str">
            <v>KAHARUDDIN</v>
          </cell>
          <cell r="C45">
            <v>17896</v>
          </cell>
          <cell r="D45" t="str">
            <v>P</v>
          </cell>
          <cell r="E45" t="str">
            <v>A</v>
          </cell>
          <cell r="F45" t="str">
            <v>OPERATION</v>
          </cell>
          <cell r="G45" t="str">
            <v>SUPPORT</v>
          </cell>
          <cell r="H45" t="str">
            <v>Checker</v>
          </cell>
          <cell r="I45" t="str">
            <v>S</v>
          </cell>
          <cell r="J45">
            <v>1150000</v>
          </cell>
          <cell r="K45">
            <v>0</v>
          </cell>
          <cell r="L45">
            <v>25000</v>
          </cell>
          <cell r="M45">
            <v>15000</v>
          </cell>
          <cell r="N45">
            <v>39905</v>
          </cell>
        </row>
        <row r="46">
          <cell r="B46" t="str">
            <v>KALLO</v>
          </cell>
          <cell r="C46">
            <v>6617</v>
          </cell>
          <cell r="D46" t="str">
            <v>P</v>
          </cell>
          <cell r="E46" t="str">
            <v>KP</v>
          </cell>
          <cell r="F46" t="str">
            <v>WAREHOUSE</v>
          </cell>
          <cell r="G46" t="str">
            <v>SUPPORT</v>
          </cell>
          <cell r="H46" t="str">
            <v>Plant Helper</v>
          </cell>
          <cell r="I46" t="str">
            <v>M3</v>
          </cell>
          <cell r="J46">
            <v>1280000</v>
          </cell>
          <cell r="K46">
            <v>0</v>
          </cell>
          <cell r="L46">
            <v>25000</v>
          </cell>
          <cell r="M46">
            <v>15000</v>
          </cell>
          <cell r="N46">
            <v>37678</v>
          </cell>
        </row>
        <row r="47">
          <cell r="B47" t="str">
            <v>KASIYAN SIO ARIADI</v>
          </cell>
          <cell r="C47">
            <v>12553</v>
          </cell>
          <cell r="D47" t="str">
            <v>P</v>
          </cell>
          <cell r="E47" t="str">
            <v>P</v>
          </cell>
          <cell r="F47" t="str">
            <v>PLANT</v>
          </cell>
          <cell r="G47" t="str">
            <v>SUPPORT</v>
          </cell>
          <cell r="H47" t="str">
            <v>Trainee Mechanic</v>
          </cell>
          <cell r="I47" t="str">
            <v>M</v>
          </cell>
          <cell r="J47">
            <v>1426000</v>
          </cell>
          <cell r="K47">
            <v>325000</v>
          </cell>
          <cell r="L47">
            <v>25000</v>
          </cell>
          <cell r="M47">
            <v>15000</v>
          </cell>
          <cell r="N47">
            <v>38818</v>
          </cell>
        </row>
        <row r="48">
          <cell r="B48" t="str">
            <v>KASRUDI</v>
          </cell>
          <cell r="C48">
            <v>10988</v>
          </cell>
          <cell r="D48" t="str">
            <v>P</v>
          </cell>
          <cell r="E48" t="str">
            <v>P</v>
          </cell>
          <cell r="F48" t="str">
            <v>OPERATION</v>
          </cell>
          <cell r="G48" t="str">
            <v>OPERATION</v>
          </cell>
          <cell r="H48" t="str">
            <v>Operator III D (ADT)</v>
          </cell>
          <cell r="I48" t="str">
            <v>M1</v>
          </cell>
          <cell r="J48">
            <v>1364000</v>
          </cell>
          <cell r="K48">
            <v>325000</v>
          </cell>
          <cell r="L48">
            <v>25000</v>
          </cell>
          <cell r="M48">
            <v>15000</v>
          </cell>
          <cell r="N48">
            <v>38492</v>
          </cell>
        </row>
        <row r="49">
          <cell r="B49" t="str">
            <v>LAURENSIUS NAMA</v>
          </cell>
          <cell r="C49">
            <v>9643</v>
          </cell>
          <cell r="D49" t="str">
            <v>P</v>
          </cell>
          <cell r="E49" t="str">
            <v>P</v>
          </cell>
          <cell r="F49" t="str">
            <v>OPERATION</v>
          </cell>
          <cell r="G49" t="str">
            <v>OPERATION</v>
          </cell>
          <cell r="H49" t="str">
            <v>Operator I D (D10)</v>
          </cell>
          <cell r="I49" t="str">
            <v>M2</v>
          </cell>
          <cell r="J49">
            <v>1778000</v>
          </cell>
          <cell r="K49">
            <v>325000</v>
          </cell>
          <cell r="L49">
            <v>25000</v>
          </cell>
          <cell r="M49">
            <v>15000</v>
          </cell>
          <cell r="N49">
            <v>38296</v>
          </cell>
        </row>
        <row r="50">
          <cell r="B50" t="str">
            <v>LUKMAN KUSMANDAR</v>
          </cell>
          <cell r="C50">
            <v>11480</v>
          </cell>
          <cell r="D50" t="str">
            <v>P</v>
          </cell>
          <cell r="E50" t="str">
            <v>P</v>
          </cell>
          <cell r="F50" t="str">
            <v>ENGINEERING</v>
          </cell>
          <cell r="G50" t="str">
            <v>SUPPORT</v>
          </cell>
          <cell r="H50" t="str">
            <v>Dispatcher</v>
          </cell>
          <cell r="I50" t="str">
            <v>M</v>
          </cell>
          <cell r="J50">
            <v>1331000</v>
          </cell>
          <cell r="K50">
            <v>325000</v>
          </cell>
          <cell r="L50">
            <v>25000</v>
          </cell>
          <cell r="M50">
            <v>15000</v>
          </cell>
          <cell r="N50">
            <v>38577</v>
          </cell>
        </row>
        <row r="51">
          <cell r="B51" t="str">
            <v>M ISHAK</v>
          </cell>
          <cell r="C51">
            <v>13492</v>
          </cell>
          <cell r="D51" t="str">
            <v>P</v>
          </cell>
          <cell r="E51" t="str">
            <v>P</v>
          </cell>
          <cell r="F51" t="str">
            <v>OPERATION</v>
          </cell>
          <cell r="G51" t="str">
            <v>SUPPORT</v>
          </cell>
          <cell r="H51" t="str">
            <v>Support Equipment Vehicle Driver</v>
          </cell>
          <cell r="I51" t="str">
            <v>M1</v>
          </cell>
          <cell r="J51">
            <v>1195000</v>
          </cell>
          <cell r="K51">
            <v>325000</v>
          </cell>
          <cell r="L51">
            <v>25000</v>
          </cell>
          <cell r="M51">
            <v>15000</v>
          </cell>
          <cell r="N51">
            <v>39056</v>
          </cell>
        </row>
        <row r="52">
          <cell r="B52" t="str">
            <v>M. ILHAM</v>
          </cell>
          <cell r="C52">
            <v>16942</v>
          </cell>
          <cell r="D52" t="str">
            <v>P</v>
          </cell>
          <cell r="E52" t="str">
            <v>K</v>
          </cell>
          <cell r="F52" t="str">
            <v>OPERATION</v>
          </cell>
          <cell r="G52" t="str">
            <v>SUPPORT</v>
          </cell>
          <cell r="H52" t="str">
            <v>Operation Helper</v>
          </cell>
          <cell r="I52" t="str">
            <v>M3</v>
          </cell>
          <cell r="J52">
            <v>1160000</v>
          </cell>
          <cell r="K52">
            <v>0</v>
          </cell>
          <cell r="L52">
            <v>25000</v>
          </cell>
          <cell r="M52">
            <v>15000</v>
          </cell>
          <cell r="N52">
            <v>39718</v>
          </cell>
        </row>
        <row r="53">
          <cell r="B53" t="str">
            <v>M. MUNAWAR HS</v>
          </cell>
          <cell r="C53">
            <v>11106</v>
          </cell>
          <cell r="D53" t="str">
            <v>P</v>
          </cell>
          <cell r="E53" t="str">
            <v>P</v>
          </cell>
          <cell r="F53" t="str">
            <v>WAREHOUSE</v>
          </cell>
          <cell r="G53" t="str">
            <v>SUPPORT</v>
          </cell>
          <cell r="H53" t="str">
            <v>Trainee Mechanic</v>
          </cell>
          <cell r="I53" t="str">
            <v>M1</v>
          </cell>
          <cell r="J53">
            <v>1357000</v>
          </cell>
          <cell r="K53">
            <v>325000</v>
          </cell>
          <cell r="L53">
            <v>25000</v>
          </cell>
          <cell r="M53">
            <v>15000</v>
          </cell>
          <cell r="N53">
            <v>38533</v>
          </cell>
        </row>
        <row r="54">
          <cell r="B54" t="str">
            <v>M. NATSIR</v>
          </cell>
          <cell r="C54">
            <v>11112</v>
          </cell>
          <cell r="D54" t="str">
            <v>P</v>
          </cell>
          <cell r="E54" t="str">
            <v>P</v>
          </cell>
          <cell r="F54" t="str">
            <v>SHE</v>
          </cell>
          <cell r="G54" t="str">
            <v>SERVICE</v>
          </cell>
          <cell r="H54" t="str">
            <v>Security</v>
          </cell>
          <cell r="I54" t="str">
            <v>M3</v>
          </cell>
          <cell r="J54">
            <v>1331000</v>
          </cell>
          <cell r="K54">
            <v>325000</v>
          </cell>
          <cell r="L54">
            <v>25000</v>
          </cell>
          <cell r="M54">
            <v>15000</v>
          </cell>
          <cell r="N54">
            <v>39090</v>
          </cell>
        </row>
        <row r="55">
          <cell r="B55" t="str">
            <v>M. RIYADA</v>
          </cell>
          <cell r="C55">
            <v>6097</v>
          </cell>
          <cell r="D55" t="str">
            <v>P</v>
          </cell>
          <cell r="E55" t="str">
            <v>P</v>
          </cell>
          <cell r="F55" t="str">
            <v>OPERATION</v>
          </cell>
          <cell r="G55" t="str">
            <v>OPERATION</v>
          </cell>
          <cell r="H55" t="str">
            <v>Operator II C</v>
          </cell>
          <cell r="I55" t="str">
            <v>M1</v>
          </cell>
          <cell r="J55">
            <v>1596000</v>
          </cell>
          <cell r="K55">
            <v>325000</v>
          </cell>
          <cell r="L55">
            <v>25000</v>
          </cell>
          <cell r="M55">
            <v>15000</v>
          </cell>
          <cell r="N55">
            <v>37550</v>
          </cell>
        </row>
        <row r="56">
          <cell r="B56" t="str">
            <v>MANINGAR JAYA SIAGIAN</v>
          </cell>
          <cell r="C56">
            <v>11482</v>
          </cell>
          <cell r="D56" t="str">
            <v>P</v>
          </cell>
          <cell r="E56" t="str">
            <v>P</v>
          </cell>
          <cell r="F56" t="str">
            <v>OPERATION</v>
          </cell>
          <cell r="G56" t="str">
            <v>OPERATION</v>
          </cell>
          <cell r="H56" t="str">
            <v>Operator II D</v>
          </cell>
          <cell r="I56" t="str">
            <v>M3</v>
          </cell>
          <cell r="J56">
            <v>1557000</v>
          </cell>
          <cell r="K56">
            <v>325000</v>
          </cell>
          <cell r="L56">
            <v>25000</v>
          </cell>
          <cell r="M56">
            <v>15000</v>
          </cell>
          <cell r="N56">
            <v>38583</v>
          </cell>
        </row>
        <row r="57">
          <cell r="B57" t="str">
            <v>MATHIUS LUMBAA</v>
          </cell>
          <cell r="C57">
            <v>11108</v>
          </cell>
          <cell r="D57" t="str">
            <v>P</v>
          </cell>
          <cell r="E57" t="str">
            <v>P</v>
          </cell>
          <cell r="F57" t="str">
            <v>PLANT</v>
          </cell>
          <cell r="G57" t="str">
            <v>SUPPORT</v>
          </cell>
          <cell r="H57" t="str">
            <v>Welder III</v>
          </cell>
          <cell r="I57" t="str">
            <v>M1</v>
          </cell>
          <cell r="J57">
            <v>1426000</v>
          </cell>
          <cell r="K57">
            <v>325000</v>
          </cell>
          <cell r="L57">
            <v>25000</v>
          </cell>
          <cell r="M57">
            <v>15000</v>
          </cell>
          <cell r="N57">
            <v>38540</v>
          </cell>
        </row>
        <row r="58">
          <cell r="B58" t="str">
            <v>MATIAS BITH</v>
          </cell>
          <cell r="C58">
            <v>11736</v>
          </cell>
          <cell r="D58" t="str">
            <v>P</v>
          </cell>
          <cell r="E58" t="str">
            <v>P</v>
          </cell>
          <cell r="F58" t="str">
            <v>OPERATION</v>
          </cell>
          <cell r="G58" t="str">
            <v>OPERATION</v>
          </cell>
          <cell r="H58" t="str">
            <v>Operator II D</v>
          </cell>
          <cell r="I58" t="str">
            <v>S</v>
          </cell>
          <cell r="J58">
            <v>1557000</v>
          </cell>
          <cell r="K58">
            <v>325000</v>
          </cell>
          <cell r="L58">
            <v>25000</v>
          </cell>
          <cell r="M58">
            <v>15000</v>
          </cell>
          <cell r="N58">
            <v>38666</v>
          </cell>
        </row>
        <row r="59">
          <cell r="B59" t="str">
            <v>MISRI</v>
          </cell>
          <cell r="C59">
            <v>7651</v>
          </cell>
          <cell r="D59" t="str">
            <v>P</v>
          </cell>
          <cell r="E59" t="str">
            <v>P</v>
          </cell>
          <cell r="F59" t="str">
            <v>OPERATION</v>
          </cell>
          <cell r="G59" t="str">
            <v>OPERATION</v>
          </cell>
          <cell r="H59" t="str">
            <v>Operator III C (OHT)</v>
          </cell>
          <cell r="I59" t="str">
            <v>M3</v>
          </cell>
          <cell r="J59">
            <v>1433000</v>
          </cell>
          <cell r="K59">
            <v>325000</v>
          </cell>
          <cell r="L59">
            <v>25000</v>
          </cell>
          <cell r="M59">
            <v>15000</v>
          </cell>
          <cell r="N59">
            <v>37905</v>
          </cell>
        </row>
        <row r="60">
          <cell r="B60" t="str">
            <v>MOH. SIRIH</v>
          </cell>
          <cell r="C60">
            <v>18293</v>
          </cell>
          <cell r="D60" t="str">
            <v>P</v>
          </cell>
          <cell r="E60" t="str">
            <v>A</v>
          </cell>
          <cell r="F60" t="str">
            <v>OPERATION</v>
          </cell>
          <cell r="G60" t="str">
            <v>SUPPORT</v>
          </cell>
          <cell r="H60" t="str">
            <v>Checker</v>
          </cell>
          <cell r="I60" t="str">
            <v>M</v>
          </cell>
          <cell r="J60">
            <v>1160000</v>
          </cell>
          <cell r="K60">
            <v>0</v>
          </cell>
          <cell r="L60">
            <v>25000</v>
          </cell>
          <cell r="M60">
            <v>15000</v>
          </cell>
          <cell r="N60">
            <v>38920</v>
          </cell>
        </row>
        <row r="61">
          <cell r="B61" t="str">
            <v>MUCHLIS ALIMUDDIN</v>
          </cell>
          <cell r="C61">
            <v>16538</v>
          </cell>
          <cell r="D61" t="str">
            <v>P</v>
          </cell>
          <cell r="E61" t="str">
            <v>K</v>
          </cell>
          <cell r="F61" t="str">
            <v>SHE</v>
          </cell>
          <cell r="G61" t="str">
            <v>SERVICE</v>
          </cell>
          <cell r="H61" t="str">
            <v>Security</v>
          </cell>
          <cell r="I61" t="str">
            <v>S</v>
          </cell>
          <cell r="J61">
            <v>1166000</v>
          </cell>
          <cell r="K61">
            <v>0</v>
          </cell>
          <cell r="L61">
            <v>25000</v>
          </cell>
          <cell r="M61">
            <v>15000</v>
          </cell>
          <cell r="N61">
            <v>39667</v>
          </cell>
        </row>
        <row r="62">
          <cell r="B62" t="str">
            <v>MUDI</v>
          </cell>
          <cell r="C62">
            <v>13115</v>
          </cell>
          <cell r="D62" t="str">
            <v>P</v>
          </cell>
          <cell r="E62" t="str">
            <v>P</v>
          </cell>
          <cell r="F62" t="str">
            <v>OPERATION</v>
          </cell>
          <cell r="G62" t="str">
            <v>OPERATION</v>
          </cell>
          <cell r="H62" t="str">
            <v>Operator III C</v>
          </cell>
          <cell r="I62" t="str">
            <v>M2</v>
          </cell>
          <cell r="J62">
            <v>1398000</v>
          </cell>
          <cell r="K62">
            <v>325000</v>
          </cell>
          <cell r="L62">
            <v>25000</v>
          </cell>
          <cell r="M62">
            <v>15000</v>
          </cell>
          <cell r="N62">
            <v>38947</v>
          </cell>
        </row>
        <row r="63">
          <cell r="B63" t="str">
            <v>MUHAMAD DAHLAN</v>
          </cell>
          <cell r="C63">
            <v>6197</v>
          </cell>
          <cell r="D63" t="str">
            <v>P</v>
          </cell>
          <cell r="E63" t="str">
            <v>P</v>
          </cell>
          <cell r="F63" t="str">
            <v>OPERATION</v>
          </cell>
          <cell r="G63" t="str">
            <v>OPERATION</v>
          </cell>
          <cell r="H63" t="str">
            <v>Operator II C (Grader)</v>
          </cell>
          <cell r="I63" t="str">
            <v>S</v>
          </cell>
          <cell r="J63">
            <v>1596000</v>
          </cell>
          <cell r="K63">
            <v>325000</v>
          </cell>
          <cell r="L63">
            <v>25000</v>
          </cell>
          <cell r="M63">
            <v>15000</v>
          </cell>
          <cell r="N63">
            <v>37572</v>
          </cell>
        </row>
        <row r="64">
          <cell r="B64" t="str">
            <v>MUHAMMAD DARWIS</v>
          </cell>
          <cell r="C64">
            <v>10994</v>
          </cell>
          <cell r="D64" t="str">
            <v>P</v>
          </cell>
          <cell r="E64" t="str">
            <v>P</v>
          </cell>
          <cell r="F64" t="str">
            <v>OPERATION</v>
          </cell>
          <cell r="G64" t="str">
            <v>OPERATION</v>
          </cell>
          <cell r="H64" t="str">
            <v>Operator III D (ADT)</v>
          </cell>
          <cell r="I64" t="str">
            <v>M1</v>
          </cell>
          <cell r="J64">
            <v>1364000</v>
          </cell>
          <cell r="K64">
            <v>325000</v>
          </cell>
          <cell r="L64">
            <v>25000</v>
          </cell>
          <cell r="M64">
            <v>15000</v>
          </cell>
          <cell r="N64">
            <v>38518</v>
          </cell>
        </row>
        <row r="65">
          <cell r="B65" t="str">
            <v>MULYADI</v>
          </cell>
          <cell r="C65">
            <v>6321</v>
          </cell>
          <cell r="D65" t="str">
            <v>P</v>
          </cell>
          <cell r="E65" t="str">
            <v>P</v>
          </cell>
          <cell r="F65" t="str">
            <v>OPERATION</v>
          </cell>
          <cell r="G65" t="str">
            <v>OPERATION</v>
          </cell>
          <cell r="H65" t="str">
            <v>Operator III A (OHT)</v>
          </cell>
          <cell r="I65" t="str">
            <v>M1</v>
          </cell>
          <cell r="J65">
            <v>1469000</v>
          </cell>
          <cell r="K65">
            <v>325000</v>
          </cell>
          <cell r="L65">
            <v>25000</v>
          </cell>
          <cell r="M65">
            <v>15000</v>
          </cell>
          <cell r="N65">
            <v>37599</v>
          </cell>
        </row>
        <row r="66">
          <cell r="B66" t="str">
            <v>MUSTARI</v>
          </cell>
          <cell r="C66">
            <v>11099</v>
          </cell>
          <cell r="D66" t="str">
            <v>P</v>
          </cell>
          <cell r="E66" t="str">
            <v>P</v>
          </cell>
          <cell r="F66" t="str">
            <v>OPERATION</v>
          </cell>
          <cell r="G66" t="str">
            <v>OPERATION</v>
          </cell>
          <cell r="H66" t="str">
            <v>Operator III D</v>
          </cell>
          <cell r="I66" t="str">
            <v>M</v>
          </cell>
          <cell r="J66">
            <v>1364000</v>
          </cell>
          <cell r="K66">
            <v>325000</v>
          </cell>
          <cell r="L66">
            <v>25000</v>
          </cell>
          <cell r="M66">
            <v>15000</v>
          </cell>
          <cell r="N66">
            <v>38533</v>
          </cell>
        </row>
        <row r="67">
          <cell r="B67" t="str">
            <v>NASRUDDIN</v>
          </cell>
          <cell r="C67">
            <v>10942</v>
          </cell>
          <cell r="D67" t="str">
            <v>P</v>
          </cell>
          <cell r="E67" t="str">
            <v>P</v>
          </cell>
          <cell r="F67" t="str">
            <v>OPERATION</v>
          </cell>
          <cell r="G67" t="str">
            <v>OPERATION</v>
          </cell>
          <cell r="H67" t="str">
            <v>Operator III D (ADT)</v>
          </cell>
          <cell r="I67" t="str">
            <v>M3</v>
          </cell>
          <cell r="J67">
            <v>1398000</v>
          </cell>
          <cell r="K67">
            <v>325000</v>
          </cell>
          <cell r="L67">
            <v>25000</v>
          </cell>
          <cell r="M67">
            <v>15000</v>
          </cell>
          <cell r="N67">
            <v>38510</v>
          </cell>
        </row>
        <row r="68">
          <cell r="B68" t="str">
            <v>NURDIANSYAH</v>
          </cell>
          <cell r="C68">
            <v>17797</v>
          </cell>
          <cell r="D68" t="str">
            <v>P</v>
          </cell>
          <cell r="E68" t="str">
            <v>A</v>
          </cell>
          <cell r="F68" t="str">
            <v>SHE</v>
          </cell>
          <cell r="G68" t="str">
            <v>SERVICE</v>
          </cell>
          <cell r="H68" t="str">
            <v>Security</v>
          </cell>
          <cell r="I68" t="str">
            <v>M1</v>
          </cell>
          <cell r="J68">
            <v>1166000</v>
          </cell>
          <cell r="K68">
            <v>0</v>
          </cell>
          <cell r="L68">
            <v>25000</v>
          </cell>
          <cell r="M68">
            <v>15000</v>
          </cell>
          <cell r="N68">
            <v>39874</v>
          </cell>
        </row>
        <row r="69">
          <cell r="B69" t="str">
            <v>NURHADI PRIYONO</v>
          </cell>
          <cell r="C69">
            <v>9186</v>
          </cell>
          <cell r="D69" t="str">
            <v>P</v>
          </cell>
          <cell r="E69" t="str">
            <v>P</v>
          </cell>
          <cell r="F69" t="str">
            <v>PLANT</v>
          </cell>
          <cell r="G69" t="str">
            <v>SUPPORT</v>
          </cell>
          <cell r="H69" t="str">
            <v>Trainee Mechanic</v>
          </cell>
          <cell r="I69" t="str">
            <v>M</v>
          </cell>
          <cell r="J69">
            <v>1357000</v>
          </cell>
          <cell r="K69">
            <v>325000</v>
          </cell>
          <cell r="L69">
            <v>25000</v>
          </cell>
          <cell r="M69">
            <v>15000</v>
          </cell>
          <cell r="N69">
            <v>38565</v>
          </cell>
        </row>
        <row r="70">
          <cell r="B70" t="str">
            <v>PAMUDJI</v>
          </cell>
          <cell r="C70">
            <v>8390</v>
          </cell>
          <cell r="D70" t="str">
            <v>P</v>
          </cell>
          <cell r="E70" t="str">
            <v>P</v>
          </cell>
          <cell r="F70" t="str">
            <v>PLANT</v>
          </cell>
          <cell r="G70" t="str">
            <v>SUPPORT</v>
          </cell>
          <cell r="H70" t="str">
            <v>Mechanic I</v>
          </cell>
          <cell r="J70">
            <v>1589000</v>
          </cell>
          <cell r="K70">
            <v>325000</v>
          </cell>
          <cell r="L70">
            <v>25000</v>
          </cell>
          <cell r="M70">
            <v>15000</v>
          </cell>
          <cell r="N70">
            <v>38050</v>
          </cell>
        </row>
        <row r="71">
          <cell r="B71" t="str">
            <v>PUJIONO</v>
          </cell>
          <cell r="C71">
            <v>11004</v>
          </cell>
          <cell r="D71" t="str">
            <v>P</v>
          </cell>
          <cell r="E71" t="str">
            <v>P</v>
          </cell>
          <cell r="F71" t="str">
            <v>PLANT</v>
          </cell>
          <cell r="G71" t="str">
            <v>SUPPORT</v>
          </cell>
          <cell r="H71" t="str">
            <v>Welder III</v>
          </cell>
          <cell r="I71" t="str">
            <v>M2</v>
          </cell>
          <cell r="J71">
            <v>1357000</v>
          </cell>
          <cell r="K71">
            <v>325000</v>
          </cell>
          <cell r="L71">
            <v>25000</v>
          </cell>
          <cell r="M71">
            <v>15000</v>
          </cell>
          <cell r="N71">
            <v>38509</v>
          </cell>
        </row>
        <row r="72">
          <cell r="B72" t="str">
            <v>RANDA</v>
          </cell>
          <cell r="C72">
            <v>8601</v>
          </cell>
          <cell r="D72" t="str">
            <v>P</v>
          </cell>
          <cell r="E72" t="str">
            <v>P</v>
          </cell>
          <cell r="F72" t="str">
            <v>OPERATION</v>
          </cell>
          <cell r="G72" t="str">
            <v>OPERATION</v>
          </cell>
          <cell r="H72" t="str">
            <v>OHT Driver</v>
          </cell>
          <cell r="I72" t="str">
            <v>M3</v>
          </cell>
          <cell r="J72">
            <v>1557000</v>
          </cell>
          <cell r="K72">
            <v>325000</v>
          </cell>
          <cell r="L72">
            <v>25000</v>
          </cell>
          <cell r="M72">
            <v>15000</v>
          </cell>
          <cell r="N72">
            <v>38100</v>
          </cell>
        </row>
        <row r="73">
          <cell r="B73" t="str">
            <v>RANDI EFENDI</v>
          </cell>
          <cell r="C73" t="str">
            <v>New2</v>
          </cell>
          <cell r="D73" t="str">
            <v>P</v>
          </cell>
          <cell r="E73" t="str">
            <v>K</v>
          </cell>
          <cell r="F73" t="str">
            <v>OPERATION</v>
          </cell>
          <cell r="G73" t="str">
            <v>SUPPORT</v>
          </cell>
          <cell r="H73" t="str">
            <v>Helper Operation</v>
          </cell>
          <cell r="I73" t="str">
            <v>S</v>
          </cell>
          <cell r="J73">
            <v>1160000</v>
          </cell>
          <cell r="K73">
            <v>0</v>
          </cell>
          <cell r="L73">
            <v>25000</v>
          </cell>
          <cell r="M73">
            <v>15000</v>
          </cell>
          <cell r="N73">
            <v>40058</v>
          </cell>
        </row>
        <row r="74">
          <cell r="B74" t="str">
            <v>RAUN</v>
          </cell>
          <cell r="C74">
            <v>11109</v>
          </cell>
          <cell r="D74" t="str">
            <v>P</v>
          </cell>
          <cell r="E74" t="str">
            <v>P</v>
          </cell>
          <cell r="F74" t="str">
            <v>PLANT</v>
          </cell>
          <cell r="G74" t="str">
            <v>SUPPORT</v>
          </cell>
          <cell r="H74" t="str">
            <v>Mechanic I</v>
          </cell>
          <cell r="I74" t="str">
            <v>S</v>
          </cell>
          <cell r="J74">
            <v>1550000</v>
          </cell>
          <cell r="K74">
            <v>325000</v>
          </cell>
          <cell r="L74">
            <v>25000</v>
          </cell>
          <cell r="M74">
            <v>15000</v>
          </cell>
          <cell r="N74">
            <v>38540</v>
          </cell>
        </row>
        <row r="75">
          <cell r="B75" t="str">
            <v>ROFIAN RUSANDA</v>
          </cell>
          <cell r="C75">
            <v>11496</v>
          </cell>
          <cell r="D75" t="str">
            <v>P</v>
          </cell>
          <cell r="E75" t="str">
            <v>P</v>
          </cell>
          <cell r="F75" t="str">
            <v>PLANT</v>
          </cell>
          <cell r="G75" t="str">
            <v>SUPPORT</v>
          </cell>
          <cell r="H75" t="str">
            <v>Trainee Tyreman</v>
          </cell>
          <cell r="I75" t="str">
            <v>M2</v>
          </cell>
          <cell r="J75">
            <v>1426000</v>
          </cell>
          <cell r="K75">
            <v>325000</v>
          </cell>
          <cell r="L75">
            <v>25000</v>
          </cell>
          <cell r="M75">
            <v>15000</v>
          </cell>
          <cell r="N75">
            <v>38580</v>
          </cell>
        </row>
        <row r="76">
          <cell r="B76" t="str">
            <v>RUDIMAN</v>
          </cell>
          <cell r="C76">
            <v>5964</v>
          </cell>
          <cell r="D76" t="str">
            <v>P</v>
          </cell>
          <cell r="E76" t="str">
            <v>P</v>
          </cell>
          <cell r="F76" t="str">
            <v>OPERATION</v>
          </cell>
          <cell r="G76" t="str">
            <v>OPERATION</v>
          </cell>
          <cell r="H76" t="str">
            <v>Operator I B</v>
          </cell>
          <cell r="I76" t="str">
            <v>M3</v>
          </cell>
          <cell r="J76">
            <v>1868000</v>
          </cell>
          <cell r="K76">
            <v>325000</v>
          </cell>
          <cell r="L76">
            <v>25000</v>
          </cell>
          <cell r="M76">
            <v>15000</v>
          </cell>
          <cell r="N76">
            <v>37515</v>
          </cell>
        </row>
        <row r="77">
          <cell r="B77" t="str">
            <v>SAIFULLAH</v>
          </cell>
          <cell r="C77">
            <v>7516</v>
          </cell>
          <cell r="D77" t="str">
            <v>P</v>
          </cell>
          <cell r="E77" t="str">
            <v>P</v>
          </cell>
          <cell r="F77" t="str">
            <v>PLANT</v>
          </cell>
          <cell r="G77" t="str">
            <v>SUPPORT</v>
          </cell>
          <cell r="H77" t="str">
            <v>Trainee Mechanic</v>
          </cell>
          <cell r="I77" t="str">
            <v>M</v>
          </cell>
          <cell r="J77">
            <v>1426000</v>
          </cell>
          <cell r="K77">
            <v>325000</v>
          </cell>
          <cell r="L77">
            <v>25000</v>
          </cell>
          <cell r="M77">
            <v>15000</v>
          </cell>
          <cell r="N77">
            <v>37852</v>
          </cell>
        </row>
        <row r="78">
          <cell r="B78" t="str">
            <v>SAMSAM</v>
          </cell>
          <cell r="C78">
            <v>11094</v>
          </cell>
          <cell r="D78" t="str">
            <v>P</v>
          </cell>
          <cell r="E78" t="str">
            <v>P</v>
          </cell>
          <cell r="F78" t="str">
            <v>OPERATION</v>
          </cell>
          <cell r="G78" t="str">
            <v>OPERATION</v>
          </cell>
          <cell r="H78" t="str">
            <v>Operator IV D (740)</v>
          </cell>
          <cell r="I78" t="str">
            <v>S</v>
          </cell>
          <cell r="J78">
            <v>1195000</v>
          </cell>
          <cell r="K78">
            <v>325000</v>
          </cell>
          <cell r="L78">
            <v>25000</v>
          </cell>
          <cell r="M78">
            <v>15000</v>
          </cell>
          <cell r="N78">
            <v>38533</v>
          </cell>
        </row>
        <row r="79">
          <cell r="B79" t="str">
            <v>SAMSURIADI</v>
          </cell>
          <cell r="C79">
            <v>7652</v>
          </cell>
          <cell r="D79" t="str">
            <v>P</v>
          </cell>
          <cell r="E79" t="str">
            <v>P</v>
          </cell>
          <cell r="F79" t="str">
            <v>OPERATION</v>
          </cell>
          <cell r="G79" t="str">
            <v>OPERATION</v>
          </cell>
          <cell r="H79" t="str">
            <v>Operator III C</v>
          </cell>
          <cell r="I79" t="str">
            <v>M2</v>
          </cell>
          <cell r="J79">
            <v>1398000</v>
          </cell>
          <cell r="K79">
            <v>325000</v>
          </cell>
          <cell r="L79">
            <v>25000</v>
          </cell>
          <cell r="M79">
            <v>15000</v>
          </cell>
          <cell r="N79">
            <v>38958</v>
          </cell>
        </row>
        <row r="80">
          <cell r="B80" t="str">
            <v>SAPRIADI</v>
          </cell>
          <cell r="C80">
            <v>17798</v>
          </cell>
          <cell r="D80" t="str">
            <v>P</v>
          </cell>
          <cell r="E80" t="str">
            <v>A</v>
          </cell>
          <cell r="F80" t="str">
            <v>OPERATION</v>
          </cell>
          <cell r="G80" t="str">
            <v>SUPPORT</v>
          </cell>
          <cell r="H80" t="str">
            <v>Checker</v>
          </cell>
          <cell r="I80" t="str">
            <v>S</v>
          </cell>
          <cell r="J80">
            <v>1160000</v>
          </cell>
          <cell r="K80">
            <v>0</v>
          </cell>
          <cell r="L80">
            <v>25000</v>
          </cell>
          <cell r="M80">
            <v>15000</v>
          </cell>
          <cell r="N80">
            <v>38920</v>
          </cell>
        </row>
        <row r="81">
          <cell r="B81" t="str">
            <v>SARWEDI</v>
          </cell>
          <cell r="C81">
            <v>8145</v>
          </cell>
          <cell r="D81" t="str">
            <v>P</v>
          </cell>
          <cell r="E81" t="str">
            <v>P</v>
          </cell>
          <cell r="F81" t="str">
            <v>PLANT</v>
          </cell>
          <cell r="G81" t="str">
            <v>SUPPORT</v>
          </cell>
          <cell r="H81" t="str">
            <v>Mechanic I</v>
          </cell>
          <cell r="I81" t="str">
            <v>M1</v>
          </cell>
          <cell r="J81">
            <v>1589000</v>
          </cell>
          <cell r="K81">
            <v>325000</v>
          </cell>
          <cell r="L81">
            <v>25000</v>
          </cell>
          <cell r="M81">
            <v>15000</v>
          </cell>
          <cell r="N81">
            <v>38047</v>
          </cell>
        </row>
        <row r="82">
          <cell r="B82" t="str">
            <v>SATRIA HERLAMBANG</v>
          </cell>
          <cell r="C82">
            <v>15363</v>
          </cell>
          <cell r="D82" t="str">
            <v>P</v>
          </cell>
          <cell r="E82" t="str">
            <v>P</v>
          </cell>
          <cell r="F82" t="str">
            <v>SHE</v>
          </cell>
          <cell r="G82" t="str">
            <v>SUPPORT</v>
          </cell>
          <cell r="H82" t="str">
            <v>Safety Administrator</v>
          </cell>
          <cell r="I82" t="str">
            <v>S</v>
          </cell>
          <cell r="J82">
            <v>1189000</v>
          </cell>
          <cell r="K82">
            <v>325000</v>
          </cell>
          <cell r="L82">
            <v>25000</v>
          </cell>
          <cell r="M82">
            <v>15000</v>
          </cell>
          <cell r="N82">
            <v>39424</v>
          </cell>
        </row>
        <row r="83">
          <cell r="B83" t="str">
            <v>SERGIUS</v>
          </cell>
          <cell r="C83">
            <v>5642</v>
          </cell>
          <cell r="D83" t="str">
            <v>P</v>
          </cell>
          <cell r="E83" t="str">
            <v>P</v>
          </cell>
          <cell r="F83" t="str">
            <v>OPERATION</v>
          </cell>
          <cell r="G83" t="str">
            <v>OPERATION</v>
          </cell>
          <cell r="H83" t="str">
            <v>Operator III D</v>
          </cell>
          <cell r="I83" t="str">
            <v>S</v>
          </cell>
          <cell r="J83">
            <v>1398000</v>
          </cell>
          <cell r="K83">
            <v>325000</v>
          </cell>
          <cell r="L83">
            <v>25000</v>
          </cell>
          <cell r="M83">
            <v>15000</v>
          </cell>
          <cell r="N83">
            <v>37470</v>
          </cell>
        </row>
        <row r="84">
          <cell r="B84" t="str">
            <v>SETIADY MANSUR</v>
          </cell>
          <cell r="C84">
            <v>11481</v>
          </cell>
          <cell r="D84" t="str">
            <v>P</v>
          </cell>
          <cell r="E84" t="str">
            <v>P</v>
          </cell>
          <cell r="F84" t="str">
            <v>SHE</v>
          </cell>
          <cell r="G84" t="str">
            <v>SUPPORT</v>
          </cell>
          <cell r="H84" t="str">
            <v>Safety Control</v>
          </cell>
          <cell r="I84" t="str">
            <v>M2</v>
          </cell>
          <cell r="J84">
            <v>1331000</v>
          </cell>
          <cell r="K84">
            <v>325000</v>
          </cell>
          <cell r="L84">
            <v>25000</v>
          </cell>
          <cell r="M84">
            <v>15000</v>
          </cell>
          <cell r="N84">
            <v>38582</v>
          </cell>
        </row>
        <row r="85">
          <cell r="B85" t="str">
            <v>SISWANTO</v>
          </cell>
          <cell r="C85">
            <v>8044</v>
          </cell>
          <cell r="D85" t="str">
            <v>P</v>
          </cell>
          <cell r="E85" t="str">
            <v>P</v>
          </cell>
          <cell r="F85" t="str">
            <v>WAREHOUSE</v>
          </cell>
          <cell r="G85" t="str">
            <v>SUPPORT</v>
          </cell>
          <cell r="H85" t="str">
            <v>Trainee Warehouseman</v>
          </cell>
          <cell r="I85" t="str">
            <v>M1</v>
          </cell>
          <cell r="J85">
            <v>1398000</v>
          </cell>
          <cell r="K85">
            <v>325000</v>
          </cell>
          <cell r="L85">
            <v>25000</v>
          </cell>
          <cell r="M85">
            <v>15000</v>
          </cell>
          <cell r="N85">
            <v>38021</v>
          </cell>
        </row>
        <row r="86">
          <cell r="B86" t="str">
            <v>SLAMET TRIADI</v>
          </cell>
          <cell r="C86">
            <v>6879</v>
          </cell>
          <cell r="D86" t="str">
            <v>P</v>
          </cell>
          <cell r="E86" t="str">
            <v>P</v>
          </cell>
          <cell r="F86" t="str">
            <v>OPERATION</v>
          </cell>
          <cell r="G86" t="str">
            <v>OPERATION</v>
          </cell>
          <cell r="H86" t="str">
            <v>OHT Driver</v>
          </cell>
          <cell r="I86" t="str">
            <v>M1</v>
          </cell>
          <cell r="J86">
            <v>1469000</v>
          </cell>
          <cell r="K86">
            <v>325000</v>
          </cell>
          <cell r="L86">
            <v>25000</v>
          </cell>
          <cell r="M86">
            <v>15000</v>
          </cell>
          <cell r="N86">
            <v>37741</v>
          </cell>
        </row>
        <row r="87">
          <cell r="B87" t="str">
            <v>SUBHAN</v>
          </cell>
          <cell r="C87">
            <v>11113</v>
          </cell>
          <cell r="D87" t="str">
            <v>P</v>
          </cell>
          <cell r="E87" t="str">
            <v>P</v>
          </cell>
          <cell r="F87" t="str">
            <v>SHE</v>
          </cell>
          <cell r="G87" t="str">
            <v>SERVICE</v>
          </cell>
          <cell r="H87" t="str">
            <v>Security</v>
          </cell>
          <cell r="I87" t="str">
            <v>M3</v>
          </cell>
          <cell r="J87">
            <v>1166000</v>
          </cell>
          <cell r="K87">
            <v>325000</v>
          </cell>
          <cell r="L87">
            <v>25000</v>
          </cell>
          <cell r="M87">
            <v>15000</v>
          </cell>
          <cell r="N87">
            <v>39090</v>
          </cell>
        </row>
        <row r="88">
          <cell r="B88" t="str">
            <v>SUJADI</v>
          </cell>
          <cell r="C88">
            <v>11495</v>
          </cell>
          <cell r="D88" t="str">
            <v>P</v>
          </cell>
          <cell r="E88" t="str">
            <v>P</v>
          </cell>
          <cell r="F88" t="str">
            <v>OPERATION</v>
          </cell>
          <cell r="G88" t="str">
            <v>OPERATION</v>
          </cell>
          <cell r="H88" t="str">
            <v>Operator III C</v>
          </cell>
          <cell r="I88" t="str">
            <v>M1</v>
          </cell>
          <cell r="J88">
            <v>1398000</v>
          </cell>
          <cell r="K88">
            <v>325000</v>
          </cell>
          <cell r="L88">
            <v>25000</v>
          </cell>
          <cell r="M88">
            <v>15000</v>
          </cell>
          <cell r="N88">
            <v>38585</v>
          </cell>
        </row>
        <row r="89">
          <cell r="B89" t="str">
            <v>SULEMAN</v>
          </cell>
          <cell r="C89">
            <v>14325</v>
          </cell>
          <cell r="D89" t="str">
            <v>P</v>
          </cell>
          <cell r="E89" t="str">
            <v>P</v>
          </cell>
          <cell r="F89" t="str">
            <v>PLANT</v>
          </cell>
          <cell r="G89" t="str">
            <v>SUPPORT</v>
          </cell>
          <cell r="H89" t="str">
            <v>Plant Helper</v>
          </cell>
          <cell r="I89" t="str">
            <v>S</v>
          </cell>
          <cell r="J89">
            <v>1280000</v>
          </cell>
          <cell r="K89">
            <v>325000</v>
          </cell>
          <cell r="L89">
            <v>25000</v>
          </cell>
          <cell r="M89">
            <v>15000</v>
          </cell>
          <cell r="N89">
            <v>39228</v>
          </cell>
        </row>
        <row r="90">
          <cell r="B90" t="str">
            <v>SUPARMAN</v>
          </cell>
          <cell r="C90">
            <v>7003</v>
          </cell>
          <cell r="D90" t="str">
            <v>P</v>
          </cell>
          <cell r="E90" t="str">
            <v>P</v>
          </cell>
          <cell r="F90" t="str">
            <v>OPERATION</v>
          </cell>
          <cell r="G90" t="str">
            <v>OPERATION</v>
          </cell>
          <cell r="H90" t="str">
            <v>Operator II D (RH-40)</v>
          </cell>
          <cell r="I90" t="str">
            <v>M3</v>
          </cell>
          <cell r="J90">
            <v>1557000</v>
          </cell>
          <cell r="K90">
            <v>325000</v>
          </cell>
          <cell r="L90">
            <v>25000</v>
          </cell>
          <cell r="M90">
            <v>15000</v>
          </cell>
          <cell r="N90">
            <v>37775</v>
          </cell>
        </row>
        <row r="91">
          <cell r="B91" t="str">
            <v>SUPARMAN.</v>
          </cell>
          <cell r="C91">
            <v>10991</v>
          </cell>
          <cell r="D91" t="str">
            <v>P</v>
          </cell>
          <cell r="E91" t="str">
            <v>P</v>
          </cell>
          <cell r="F91" t="str">
            <v>OPERATION</v>
          </cell>
          <cell r="G91" t="str">
            <v>OPERATION</v>
          </cell>
          <cell r="H91" t="str">
            <v>Operator III D</v>
          </cell>
          <cell r="I91" t="str">
            <v>M2</v>
          </cell>
          <cell r="J91">
            <v>1398000</v>
          </cell>
          <cell r="K91">
            <v>325000</v>
          </cell>
          <cell r="L91">
            <v>25000</v>
          </cell>
          <cell r="M91">
            <v>15000</v>
          </cell>
          <cell r="N91">
            <v>38518</v>
          </cell>
        </row>
        <row r="92">
          <cell r="B92" t="str">
            <v>SUPARMAN;</v>
          </cell>
          <cell r="C92">
            <v>9435</v>
          </cell>
          <cell r="D92" t="str">
            <v>P</v>
          </cell>
          <cell r="E92" t="str">
            <v>P</v>
          </cell>
          <cell r="F92" t="str">
            <v>PLANT</v>
          </cell>
          <cell r="G92" t="str">
            <v>SUPPORT</v>
          </cell>
          <cell r="H92" t="str">
            <v>Mechanic I</v>
          </cell>
          <cell r="I92" t="str">
            <v>S</v>
          </cell>
          <cell r="J92">
            <v>1550000</v>
          </cell>
          <cell r="K92">
            <v>325000</v>
          </cell>
          <cell r="L92">
            <v>25000</v>
          </cell>
          <cell r="M92">
            <v>15000</v>
          </cell>
          <cell r="N92">
            <v>38838</v>
          </cell>
        </row>
        <row r="93">
          <cell r="B93" t="str">
            <v>SUPRIADI</v>
          </cell>
          <cell r="C93">
            <v>11110</v>
          </cell>
          <cell r="D93" t="str">
            <v>P</v>
          </cell>
          <cell r="E93" t="str">
            <v>P</v>
          </cell>
          <cell r="F93" t="str">
            <v>ENGINEERING</v>
          </cell>
          <cell r="G93" t="str">
            <v>SUPPORT</v>
          </cell>
          <cell r="H93" t="str">
            <v>Surveyor Helper</v>
          </cell>
          <cell r="I93" t="str">
            <v>M1</v>
          </cell>
          <cell r="J93">
            <v>1160000</v>
          </cell>
          <cell r="K93">
            <v>325000</v>
          </cell>
          <cell r="L93">
            <v>25000</v>
          </cell>
          <cell r="M93">
            <v>15000</v>
          </cell>
          <cell r="N93">
            <v>39874</v>
          </cell>
        </row>
        <row r="94">
          <cell r="B94" t="str">
            <v>SURINO</v>
          </cell>
          <cell r="C94">
            <v>11486</v>
          </cell>
          <cell r="D94" t="str">
            <v>P</v>
          </cell>
          <cell r="E94" t="str">
            <v>P</v>
          </cell>
          <cell r="F94" t="str">
            <v>OPERATION</v>
          </cell>
          <cell r="G94" t="str">
            <v>OPERATION</v>
          </cell>
          <cell r="H94" t="str">
            <v>Operator III D (ADT)</v>
          </cell>
          <cell r="I94" t="str">
            <v>M2</v>
          </cell>
          <cell r="J94">
            <v>1364000</v>
          </cell>
          <cell r="K94">
            <v>325000</v>
          </cell>
          <cell r="L94">
            <v>25000</v>
          </cell>
          <cell r="M94">
            <v>15000</v>
          </cell>
          <cell r="N94">
            <v>38580</v>
          </cell>
        </row>
        <row r="95">
          <cell r="B95" t="str">
            <v>SUSANTO</v>
          </cell>
          <cell r="C95">
            <v>8042</v>
          </cell>
          <cell r="D95" t="str">
            <v>P</v>
          </cell>
          <cell r="E95" t="str">
            <v>P</v>
          </cell>
          <cell r="F95" t="str">
            <v>PLANT</v>
          </cell>
          <cell r="G95" t="str">
            <v>SUPPORT</v>
          </cell>
          <cell r="H95" t="str">
            <v>Mechanic I</v>
          </cell>
          <cell r="I95" t="str">
            <v>S</v>
          </cell>
          <cell r="J95">
            <v>1550000</v>
          </cell>
          <cell r="K95">
            <v>325000</v>
          </cell>
          <cell r="L95">
            <v>25000</v>
          </cell>
          <cell r="M95">
            <v>15000</v>
          </cell>
          <cell r="N95">
            <v>38013</v>
          </cell>
        </row>
        <row r="96">
          <cell r="B96" t="str">
            <v>SUTONDO</v>
          </cell>
          <cell r="C96">
            <v>332</v>
          </cell>
          <cell r="D96" t="str">
            <v>P</v>
          </cell>
          <cell r="E96" t="str">
            <v>P</v>
          </cell>
          <cell r="F96" t="str">
            <v>PLANT</v>
          </cell>
          <cell r="G96" t="str">
            <v>SUPPORT</v>
          </cell>
          <cell r="H96" t="str">
            <v>Mechanic I</v>
          </cell>
          <cell r="I96" t="str">
            <v>M3</v>
          </cell>
          <cell r="J96">
            <v>1629000</v>
          </cell>
          <cell r="K96">
            <v>325000</v>
          </cell>
          <cell r="L96">
            <v>25000</v>
          </cell>
          <cell r="M96">
            <v>15000</v>
          </cell>
          <cell r="N96">
            <v>37377</v>
          </cell>
        </row>
        <row r="97">
          <cell r="B97" t="str">
            <v>SYAFRUDDIN</v>
          </cell>
          <cell r="C97">
            <v>7013</v>
          </cell>
          <cell r="D97" t="str">
            <v>P</v>
          </cell>
          <cell r="E97" t="str">
            <v>P</v>
          </cell>
          <cell r="F97" t="str">
            <v>ENGINEERING</v>
          </cell>
          <cell r="G97" t="str">
            <v>SUPPORT</v>
          </cell>
          <cell r="H97" t="str">
            <v>Surveyor</v>
          </cell>
          <cell r="I97" t="str">
            <v>M2</v>
          </cell>
          <cell r="J97">
            <v>1331000</v>
          </cell>
          <cell r="K97">
            <v>325000</v>
          </cell>
          <cell r="L97">
            <v>25000</v>
          </cell>
          <cell r="M97">
            <v>15000</v>
          </cell>
          <cell r="N97">
            <v>37775</v>
          </cell>
        </row>
        <row r="98">
          <cell r="B98" t="str">
            <v>SYAIFUL ALI MASKUR</v>
          </cell>
          <cell r="C98">
            <v>11107</v>
          </cell>
          <cell r="D98" t="str">
            <v>P</v>
          </cell>
          <cell r="E98" t="str">
            <v>P</v>
          </cell>
          <cell r="F98" t="str">
            <v>PLANT</v>
          </cell>
          <cell r="G98" t="str">
            <v>SUPPORT</v>
          </cell>
          <cell r="H98" t="str">
            <v>Trainee Mechanic</v>
          </cell>
          <cell r="I98" t="str">
            <v>M3</v>
          </cell>
          <cell r="J98">
            <v>1426000</v>
          </cell>
          <cell r="K98">
            <v>325000</v>
          </cell>
          <cell r="L98">
            <v>25000</v>
          </cell>
          <cell r="M98">
            <v>15000</v>
          </cell>
          <cell r="N98">
            <v>38533</v>
          </cell>
        </row>
        <row r="99">
          <cell r="B99" t="str">
            <v>SYAMSUDIN OLA</v>
          </cell>
          <cell r="C99">
            <v>13494</v>
          </cell>
          <cell r="D99" t="str">
            <v>P</v>
          </cell>
          <cell r="E99" t="str">
            <v>P</v>
          </cell>
          <cell r="F99" t="str">
            <v>OPERATION</v>
          </cell>
          <cell r="G99" t="str">
            <v>OPERATION</v>
          </cell>
          <cell r="H99" t="str">
            <v>Operator III D</v>
          </cell>
          <cell r="I99" t="str">
            <v>S</v>
          </cell>
          <cell r="J99">
            <v>1364000</v>
          </cell>
          <cell r="K99">
            <v>325000</v>
          </cell>
          <cell r="L99">
            <v>25000</v>
          </cell>
          <cell r="M99">
            <v>15000</v>
          </cell>
          <cell r="N99">
            <v>39052</v>
          </cell>
        </row>
        <row r="100">
          <cell r="B100" t="str">
            <v>SYAMSUDIN P</v>
          </cell>
          <cell r="C100">
            <v>10120</v>
          </cell>
          <cell r="D100" t="str">
            <v>P</v>
          </cell>
          <cell r="E100" t="str">
            <v>P</v>
          </cell>
          <cell r="F100" t="str">
            <v>OPERATION</v>
          </cell>
          <cell r="G100" t="str">
            <v>OPERATION</v>
          </cell>
          <cell r="H100" t="str">
            <v>Operator I D</v>
          </cell>
          <cell r="I100" t="str">
            <v>M3</v>
          </cell>
          <cell r="J100">
            <v>1778000</v>
          </cell>
          <cell r="K100">
            <v>325000</v>
          </cell>
          <cell r="L100">
            <v>25000</v>
          </cell>
          <cell r="M100">
            <v>15000</v>
          </cell>
          <cell r="N100">
            <v>38383</v>
          </cell>
        </row>
        <row r="101">
          <cell r="B101" t="str">
            <v>SYARIPUDDIN</v>
          </cell>
          <cell r="C101">
            <v>11149</v>
          </cell>
          <cell r="D101" t="str">
            <v>P</v>
          </cell>
          <cell r="E101" t="str">
            <v>P</v>
          </cell>
          <cell r="F101" t="str">
            <v>WAREHOUSE</v>
          </cell>
          <cell r="G101" t="str">
            <v>SUPPORT</v>
          </cell>
          <cell r="H101" t="str">
            <v>Security</v>
          </cell>
          <cell r="I101" t="str">
            <v>M4</v>
          </cell>
          <cell r="J101">
            <v>1364000</v>
          </cell>
          <cell r="K101">
            <v>325000</v>
          </cell>
          <cell r="L101">
            <v>25000</v>
          </cell>
          <cell r="M101">
            <v>15000</v>
          </cell>
          <cell r="N101">
            <v>38533</v>
          </cell>
        </row>
        <row r="102">
          <cell r="B102" t="str">
            <v>WAHYU ADI JUNIARTO</v>
          </cell>
          <cell r="C102">
            <v>6716</v>
          </cell>
          <cell r="D102" t="str">
            <v>P</v>
          </cell>
          <cell r="E102" t="str">
            <v>P</v>
          </cell>
          <cell r="F102" t="str">
            <v>PLANT</v>
          </cell>
          <cell r="G102" t="str">
            <v>SUPPORT</v>
          </cell>
          <cell r="H102" t="str">
            <v>Trainee Mechanic</v>
          </cell>
          <cell r="I102" t="str">
            <v>S</v>
          </cell>
          <cell r="J102">
            <v>1357000</v>
          </cell>
          <cell r="K102">
            <v>325000</v>
          </cell>
          <cell r="L102">
            <v>25000</v>
          </cell>
          <cell r="M102">
            <v>15000</v>
          </cell>
          <cell r="N102">
            <v>37715</v>
          </cell>
        </row>
        <row r="103">
          <cell r="B103" t="str">
            <v>WAHYUNI SUBRI</v>
          </cell>
          <cell r="C103">
            <v>10939</v>
          </cell>
          <cell r="D103" t="str">
            <v>P</v>
          </cell>
          <cell r="E103" t="str">
            <v>P</v>
          </cell>
          <cell r="F103" t="str">
            <v>OPERATION</v>
          </cell>
          <cell r="G103" t="str">
            <v>OPERATION</v>
          </cell>
          <cell r="H103" t="str">
            <v>Operator III D</v>
          </cell>
          <cell r="I103" t="str">
            <v>M3</v>
          </cell>
          <cell r="J103">
            <v>1364000</v>
          </cell>
          <cell r="K103">
            <v>325000</v>
          </cell>
          <cell r="L103">
            <v>25000</v>
          </cell>
          <cell r="M103">
            <v>15000</v>
          </cell>
          <cell r="N103">
            <v>38510</v>
          </cell>
        </row>
        <row r="104">
          <cell r="B104" t="str">
            <v>YANAS</v>
          </cell>
          <cell r="C104">
            <v>6096</v>
          </cell>
          <cell r="D104" t="str">
            <v>P</v>
          </cell>
          <cell r="E104" t="str">
            <v>P</v>
          </cell>
          <cell r="F104" t="str">
            <v>OPERATION</v>
          </cell>
          <cell r="G104" t="str">
            <v>OPERATION</v>
          </cell>
          <cell r="H104" t="str">
            <v>Operator III A</v>
          </cell>
          <cell r="I104" t="str">
            <v>M4</v>
          </cell>
          <cell r="J104">
            <v>1469000</v>
          </cell>
          <cell r="K104">
            <v>325000</v>
          </cell>
          <cell r="L104">
            <v>25000</v>
          </cell>
          <cell r="M104">
            <v>15000</v>
          </cell>
          <cell r="N104">
            <v>37550</v>
          </cell>
        </row>
        <row r="105">
          <cell r="B105" t="str">
            <v>YEREMIAS</v>
          </cell>
          <cell r="C105">
            <v>9328</v>
          </cell>
          <cell r="D105" t="str">
            <v>P</v>
          </cell>
          <cell r="E105" t="str">
            <v>P</v>
          </cell>
          <cell r="F105" t="str">
            <v>OPERATION</v>
          </cell>
          <cell r="G105" t="str">
            <v>OPERATION</v>
          </cell>
          <cell r="H105" t="str">
            <v>Operator I D</v>
          </cell>
          <cell r="I105" t="str">
            <v>M2</v>
          </cell>
          <cell r="J105">
            <v>1778000</v>
          </cell>
          <cell r="K105">
            <v>325000</v>
          </cell>
          <cell r="L105">
            <v>25000</v>
          </cell>
          <cell r="M105">
            <v>15000</v>
          </cell>
          <cell r="N105">
            <v>38241</v>
          </cell>
        </row>
        <row r="106">
          <cell r="B106" t="str">
            <v>YEVA SUSANTI</v>
          </cell>
          <cell r="C106">
            <v>8539</v>
          </cell>
          <cell r="D106" t="str">
            <v>W</v>
          </cell>
          <cell r="E106" t="str">
            <v>P</v>
          </cell>
          <cell r="F106" t="str">
            <v>OPERATION</v>
          </cell>
          <cell r="G106" t="str">
            <v>SUPPORT</v>
          </cell>
          <cell r="H106" t="str">
            <v>Engineering Administrator</v>
          </cell>
          <cell r="I106" t="str">
            <v>S</v>
          </cell>
          <cell r="J106">
            <v>1357000</v>
          </cell>
          <cell r="K106">
            <v>325000</v>
          </cell>
          <cell r="L106">
            <v>25000</v>
          </cell>
          <cell r="M106">
            <v>15000</v>
          </cell>
          <cell r="N106">
            <v>38089</v>
          </cell>
        </row>
        <row r="107">
          <cell r="B107" t="str">
            <v>YOHANIS TARUK ALLO</v>
          </cell>
          <cell r="C107">
            <v>10990</v>
          </cell>
          <cell r="D107" t="str">
            <v>P</v>
          </cell>
          <cell r="E107" t="str">
            <v>P</v>
          </cell>
          <cell r="F107" t="str">
            <v>OPERATION</v>
          </cell>
          <cell r="G107" t="str">
            <v>OPERATION</v>
          </cell>
          <cell r="H107" t="str">
            <v>Operator II D</v>
          </cell>
          <cell r="I107" t="str">
            <v>M</v>
          </cell>
          <cell r="J107">
            <v>1557000</v>
          </cell>
          <cell r="K107">
            <v>325000</v>
          </cell>
          <cell r="L107">
            <v>25000</v>
          </cell>
          <cell r="M107">
            <v>15000</v>
          </cell>
          <cell r="N107">
            <v>38518</v>
          </cell>
        </row>
        <row r="108">
          <cell r="B108" t="str">
            <v>YULIANUS ROBBY</v>
          </cell>
          <cell r="C108">
            <v>12730</v>
          </cell>
          <cell r="D108" t="str">
            <v>P</v>
          </cell>
          <cell r="E108" t="str">
            <v>P</v>
          </cell>
          <cell r="F108" t="str">
            <v>OPERATION</v>
          </cell>
          <cell r="G108" t="str">
            <v>OPERATION</v>
          </cell>
          <cell r="H108" t="str">
            <v>Operator III D</v>
          </cell>
          <cell r="I108" t="str">
            <v>S</v>
          </cell>
          <cell r="J108">
            <v>1364000</v>
          </cell>
          <cell r="K108">
            <v>325000</v>
          </cell>
          <cell r="L108">
            <v>25000</v>
          </cell>
          <cell r="M108">
            <v>15000</v>
          </cell>
          <cell r="N108">
            <v>38841</v>
          </cell>
        </row>
        <row r="109">
          <cell r="B109" t="str">
            <v>THONY MOGARDIAN SETIAWAN</v>
          </cell>
          <cell r="C109">
            <v>16944</v>
          </cell>
          <cell r="D109" t="str">
            <v>P</v>
          </cell>
          <cell r="E109" t="str">
            <v>K</v>
          </cell>
          <cell r="F109" t="str">
            <v>ENGINEERING</v>
          </cell>
          <cell r="G109" t="str">
            <v>SUPPORT</v>
          </cell>
          <cell r="H109" t="str">
            <v>Surveyor Helper</v>
          </cell>
          <cell r="I109" t="str">
            <v>M3</v>
          </cell>
          <cell r="J109">
            <v>1150000</v>
          </cell>
          <cell r="K109">
            <v>0</v>
          </cell>
          <cell r="L109">
            <v>25000</v>
          </cell>
          <cell r="M109">
            <v>15000</v>
          </cell>
          <cell r="N109">
            <v>39729</v>
          </cell>
        </row>
        <row r="110">
          <cell r="B110" t="str">
            <v>SOFYAN</v>
          </cell>
          <cell r="C110">
            <v>17181</v>
          </cell>
          <cell r="D110" t="str">
            <v>P</v>
          </cell>
          <cell r="E110" t="str">
            <v>K</v>
          </cell>
          <cell r="F110" t="str">
            <v>OPERATION</v>
          </cell>
          <cell r="G110" t="str">
            <v>OPERATION</v>
          </cell>
          <cell r="H110" t="str">
            <v>Operator III D</v>
          </cell>
          <cell r="I110" t="str">
            <v>M1</v>
          </cell>
          <cell r="J110">
            <v>1364000</v>
          </cell>
          <cell r="K110">
            <v>0</v>
          </cell>
          <cell r="L110">
            <v>25000</v>
          </cell>
          <cell r="M110">
            <v>15000</v>
          </cell>
          <cell r="N110">
            <v>39746</v>
          </cell>
        </row>
        <row r="111">
          <cell r="B111" t="str">
            <v>SUMARNI</v>
          </cell>
          <cell r="C111">
            <v>17186</v>
          </cell>
          <cell r="D111" t="str">
            <v>W</v>
          </cell>
          <cell r="E111" t="str">
            <v>K</v>
          </cell>
          <cell r="F111" t="str">
            <v>ENGINEERING</v>
          </cell>
          <cell r="G111" t="str">
            <v>SUPPORT</v>
          </cell>
          <cell r="H111" t="str">
            <v>Operation Administrator</v>
          </cell>
          <cell r="I111" t="str">
            <v>S</v>
          </cell>
          <cell r="J111">
            <v>1189000</v>
          </cell>
          <cell r="K111">
            <v>0</v>
          </cell>
          <cell r="L111">
            <v>25000</v>
          </cell>
          <cell r="M111">
            <v>15000</v>
          </cell>
          <cell r="N111">
            <v>39749</v>
          </cell>
        </row>
        <row r="112">
          <cell r="B112" t="str">
            <v>YULIANTO</v>
          </cell>
          <cell r="C112">
            <v>17188</v>
          </cell>
          <cell r="D112" t="str">
            <v>P</v>
          </cell>
          <cell r="E112" t="str">
            <v>K</v>
          </cell>
          <cell r="F112" t="str">
            <v>OPERATION</v>
          </cell>
          <cell r="G112" t="str">
            <v>SUPPORT</v>
          </cell>
          <cell r="H112" t="str">
            <v>Operation Helper</v>
          </cell>
          <cell r="I112" t="str">
            <v>S</v>
          </cell>
          <cell r="J112">
            <v>1150000</v>
          </cell>
          <cell r="K112">
            <v>0</v>
          </cell>
          <cell r="L112">
            <v>25000</v>
          </cell>
          <cell r="M112">
            <v>15000</v>
          </cell>
          <cell r="N112">
            <v>39757</v>
          </cell>
        </row>
        <row r="113">
          <cell r="B113" t="str">
            <v>SAIYID MUHAMMADIN YAHYA</v>
          </cell>
          <cell r="C113">
            <v>17192</v>
          </cell>
          <cell r="D113" t="str">
            <v>P</v>
          </cell>
          <cell r="E113" t="str">
            <v>K</v>
          </cell>
          <cell r="F113" t="str">
            <v>OPERATION</v>
          </cell>
          <cell r="G113" t="str">
            <v>SUPPORT</v>
          </cell>
          <cell r="H113" t="str">
            <v>Operation Helper</v>
          </cell>
          <cell r="I113" t="str">
            <v>M2</v>
          </cell>
          <cell r="J113">
            <v>1150000</v>
          </cell>
          <cell r="K113">
            <v>0</v>
          </cell>
          <cell r="L113">
            <v>25000</v>
          </cell>
          <cell r="M113">
            <v>15000</v>
          </cell>
          <cell r="N113">
            <v>39760</v>
          </cell>
        </row>
        <row r="114">
          <cell r="B114" t="str">
            <v>AGUS WALUYO</v>
          </cell>
          <cell r="C114">
            <v>17190</v>
          </cell>
          <cell r="D114" t="str">
            <v>P</v>
          </cell>
          <cell r="E114" t="str">
            <v>K</v>
          </cell>
          <cell r="F114" t="str">
            <v>ADMIN</v>
          </cell>
          <cell r="G114" t="str">
            <v>SERVICE</v>
          </cell>
          <cell r="H114" t="str">
            <v>Office Boy</v>
          </cell>
          <cell r="I114" t="str">
            <v>S</v>
          </cell>
          <cell r="J114">
            <v>1150000</v>
          </cell>
          <cell r="K114">
            <v>0</v>
          </cell>
          <cell r="L114">
            <v>0</v>
          </cell>
          <cell r="M114">
            <v>0</v>
          </cell>
          <cell r="N114">
            <v>39759</v>
          </cell>
        </row>
        <row r="115">
          <cell r="B115" t="str">
            <v>WANDONO</v>
          </cell>
          <cell r="C115">
            <v>17187</v>
          </cell>
          <cell r="D115" t="str">
            <v>P</v>
          </cell>
          <cell r="E115" t="str">
            <v>K</v>
          </cell>
          <cell r="F115" t="str">
            <v>ENGINEERING</v>
          </cell>
          <cell r="G115" t="str">
            <v>SUPPORT</v>
          </cell>
          <cell r="H115" t="str">
            <v>Surveyor Helper</v>
          </cell>
          <cell r="I115" t="str">
            <v>M2</v>
          </cell>
          <cell r="J115">
            <v>1160000</v>
          </cell>
          <cell r="K115">
            <v>0</v>
          </cell>
          <cell r="L115">
            <v>25000</v>
          </cell>
          <cell r="M115">
            <v>15000</v>
          </cell>
          <cell r="N115">
            <v>39756</v>
          </cell>
        </row>
        <row r="116">
          <cell r="B116" t="str">
            <v>ELVIN LIBRIAN</v>
          </cell>
          <cell r="C116">
            <v>18295</v>
          </cell>
          <cell r="D116" t="str">
            <v>P</v>
          </cell>
          <cell r="E116" t="str">
            <v>K</v>
          </cell>
          <cell r="F116" t="str">
            <v>ADMIN</v>
          </cell>
          <cell r="G116" t="str">
            <v>SUPPORT</v>
          </cell>
          <cell r="H116" t="str">
            <v>Admint. Officer</v>
          </cell>
          <cell r="I116" t="str">
            <v>M3</v>
          </cell>
          <cell r="J116">
            <v>1189000</v>
          </cell>
          <cell r="K116">
            <v>0</v>
          </cell>
          <cell r="L116">
            <v>25000</v>
          </cell>
          <cell r="M116">
            <v>15000</v>
          </cell>
          <cell r="N116">
            <v>39975</v>
          </cell>
        </row>
        <row r="117">
          <cell r="B117" t="str">
            <v>LINDA HENDRIANI</v>
          </cell>
          <cell r="C117">
            <v>18296</v>
          </cell>
          <cell r="D117" t="str">
            <v>W</v>
          </cell>
          <cell r="E117" t="str">
            <v>K</v>
          </cell>
          <cell r="F117" t="str">
            <v>ADMIN</v>
          </cell>
          <cell r="G117" t="str">
            <v>SERVICE</v>
          </cell>
          <cell r="H117" t="str">
            <v>Office Girl</v>
          </cell>
          <cell r="I117" t="str">
            <v>S</v>
          </cell>
          <cell r="J117">
            <v>1160000</v>
          </cell>
          <cell r="K117">
            <v>0</v>
          </cell>
          <cell r="L117">
            <v>25000</v>
          </cell>
          <cell r="M117">
            <v>15000</v>
          </cell>
          <cell r="N117">
            <v>39975</v>
          </cell>
        </row>
        <row r="118">
          <cell r="B118" t="str">
            <v>MUHAMMAD TUO</v>
          </cell>
          <cell r="C118">
            <v>17468</v>
          </cell>
          <cell r="D118" t="str">
            <v>P</v>
          </cell>
          <cell r="E118" t="str">
            <v>K</v>
          </cell>
          <cell r="F118" t="str">
            <v>OPERATION</v>
          </cell>
          <cell r="G118" t="str">
            <v>OPERATION</v>
          </cell>
          <cell r="H118" t="str">
            <v>Operator III D</v>
          </cell>
          <cell r="I118" t="str">
            <v>M1</v>
          </cell>
          <cell r="J118">
            <v>1323000</v>
          </cell>
          <cell r="K118">
            <v>0</v>
          </cell>
          <cell r="L118">
            <v>25000</v>
          </cell>
          <cell r="M118">
            <v>15000</v>
          </cell>
          <cell r="N118">
            <v>39797</v>
          </cell>
        </row>
        <row r="119">
          <cell r="B119" t="str">
            <v>DARMAWI</v>
          </cell>
          <cell r="C119">
            <v>17470</v>
          </cell>
          <cell r="D119" t="str">
            <v>P</v>
          </cell>
          <cell r="E119" t="str">
            <v>K</v>
          </cell>
          <cell r="F119" t="str">
            <v>WAREHOUSE</v>
          </cell>
          <cell r="G119" t="str">
            <v>SUPPORT</v>
          </cell>
          <cell r="H119" t="str">
            <v>Fuelman</v>
          </cell>
          <cell r="I119" t="str">
            <v>M3</v>
          </cell>
          <cell r="J119">
            <v>1155000</v>
          </cell>
          <cell r="K119">
            <v>0</v>
          </cell>
          <cell r="L119">
            <v>25000</v>
          </cell>
          <cell r="M119">
            <v>15000</v>
          </cell>
          <cell r="N119">
            <v>39804</v>
          </cell>
        </row>
        <row r="120">
          <cell r="B120" t="str">
            <v>SUHERMAN</v>
          </cell>
          <cell r="C120">
            <v>17562</v>
          </cell>
          <cell r="D120" t="str">
            <v>P</v>
          </cell>
          <cell r="E120" t="str">
            <v>P</v>
          </cell>
          <cell r="F120" t="str">
            <v>PLANT</v>
          </cell>
          <cell r="G120" t="str">
            <v>SUPPORT</v>
          </cell>
          <cell r="H120" t="str">
            <v>Mechanic I</v>
          </cell>
          <cell r="I120" t="str">
            <v>M0</v>
          </cell>
          <cell r="J120">
            <v>1550000</v>
          </cell>
          <cell r="K120">
            <v>325000</v>
          </cell>
          <cell r="L120">
            <v>25000</v>
          </cell>
          <cell r="M120">
            <v>15000</v>
          </cell>
          <cell r="N120">
            <v>39836</v>
          </cell>
        </row>
        <row r="121">
          <cell r="B121" t="str">
            <v>DEDI SETIAWAN</v>
          </cell>
          <cell r="C121">
            <v>17561</v>
          </cell>
          <cell r="D121" t="str">
            <v>P</v>
          </cell>
          <cell r="E121" t="str">
            <v>P</v>
          </cell>
          <cell r="F121" t="str">
            <v>PLANT</v>
          </cell>
          <cell r="G121" t="str">
            <v>SUPPORT</v>
          </cell>
          <cell r="H121" t="str">
            <v>Mechanic I</v>
          </cell>
          <cell r="I121" t="str">
            <v>M3</v>
          </cell>
          <cell r="J121">
            <v>1550000</v>
          </cell>
          <cell r="K121">
            <v>325000</v>
          </cell>
          <cell r="L121">
            <v>25000</v>
          </cell>
          <cell r="M121">
            <v>15000</v>
          </cell>
          <cell r="N121">
            <v>39836</v>
          </cell>
        </row>
        <row r="122">
          <cell r="B122" t="str">
            <v>NASUTION</v>
          </cell>
          <cell r="C122">
            <v>17567</v>
          </cell>
          <cell r="D122" t="str">
            <v>P</v>
          </cell>
          <cell r="E122" t="str">
            <v>K</v>
          </cell>
          <cell r="F122" t="str">
            <v>WAREHOUSE</v>
          </cell>
          <cell r="G122" t="str">
            <v>SUPPORT</v>
          </cell>
          <cell r="H122" t="str">
            <v>Trainee Warehouseman</v>
          </cell>
          <cell r="I122" t="str">
            <v>M3</v>
          </cell>
          <cell r="J122">
            <v>1155000</v>
          </cell>
          <cell r="K122">
            <v>0</v>
          </cell>
          <cell r="L122">
            <v>25000</v>
          </cell>
          <cell r="M122">
            <v>15000</v>
          </cell>
          <cell r="N122">
            <v>39847</v>
          </cell>
        </row>
        <row r="123">
          <cell r="B123" t="str">
            <v>ANDI PAMUNGKAS</v>
          </cell>
          <cell r="C123">
            <v>17566</v>
          </cell>
          <cell r="D123" t="str">
            <v>P</v>
          </cell>
          <cell r="E123" t="str">
            <v>K</v>
          </cell>
          <cell r="F123" t="str">
            <v>WAREHOUSE</v>
          </cell>
          <cell r="G123" t="str">
            <v>SUPPORT</v>
          </cell>
          <cell r="H123" t="str">
            <v>Fuelman</v>
          </cell>
          <cell r="I123" t="str">
            <v>S</v>
          </cell>
          <cell r="J123">
            <v>1155000</v>
          </cell>
          <cell r="K123">
            <v>0</v>
          </cell>
          <cell r="L123">
            <v>25000</v>
          </cell>
          <cell r="M123">
            <v>15000</v>
          </cell>
          <cell r="N123">
            <v>39847</v>
          </cell>
        </row>
        <row r="124">
          <cell r="B124" t="str">
            <v>SYAMSUDDIN SABIR</v>
          </cell>
          <cell r="C124">
            <v>17793</v>
          </cell>
          <cell r="D124" t="str">
            <v>P</v>
          </cell>
          <cell r="E124" t="str">
            <v>K</v>
          </cell>
          <cell r="F124" t="str">
            <v>SHE</v>
          </cell>
          <cell r="G124" t="str">
            <v>SERVICE</v>
          </cell>
          <cell r="H124" t="str">
            <v>Security</v>
          </cell>
          <cell r="I124" t="str">
            <v>M0</v>
          </cell>
          <cell r="J124">
            <v>1155000</v>
          </cell>
          <cell r="K124">
            <v>0</v>
          </cell>
          <cell r="L124">
            <v>25000</v>
          </cell>
          <cell r="M124">
            <v>15000</v>
          </cell>
          <cell r="N124">
            <v>39872</v>
          </cell>
        </row>
        <row r="125">
          <cell r="B125" t="str">
            <v>WIDIYANTO</v>
          </cell>
          <cell r="C125">
            <v>14207</v>
          </cell>
          <cell r="D125" t="str">
            <v>P</v>
          </cell>
          <cell r="E125" t="str">
            <v>P</v>
          </cell>
          <cell r="F125" t="str">
            <v>WAREHOUSE</v>
          </cell>
          <cell r="G125" t="str">
            <v>SUPPORT</v>
          </cell>
          <cell r="H125" t="str">
            <v>Trainee Warehouseman</v>
          </cell>
          <cell r="I125" t="str">
            <v>M3</v>
          </cell>
          <cell r="J125">
            <v>1357000</v>
          </cell>
          <cell r="K125">
            <v>325000</v>
          </cell>
          <cell r="L125">
            <v>25000</v>
          </cell>
          <cell r="M125">
            <v>15000</v>
          </cell>
          <cell r="N125">
            <v>39216</v>
          </cell>
        </row>
        <row r="126">
          <cell r="B126" t="str">
            <v>DIAN SUSENO</v>
          </cell>
          <cell r="C126">
            <v>18687</v>
          </cell>
          <cell r="D126" t="str">
            <v>P</v>
          </cell>
          <cell r="E126" t="str">
            <v>K</v>
          </cell>
          <cell r="F126" t="str">
            <v>PLANT</v>
          </cell>
          <cell r="G126" t="str">
            <v>SUPPORT</v>
          </cell>
          <cell r="H126" t="str">
            <v>Mechanic I</v>
          </cell>
          <cell r="I126" t="str">
            <v>M2</v>
          </cell>
          <cell r="J126">
            <v>1504000</v>
          </cell>
          <cell r="K126">
            <v>0</v>
          </cell>
          <cell r="L126">
            <v>25000</v>
          </cell>
          <cell r="M126">
            <v>15000</v>
          </cell>
          <cell r="N126">
            <v>40043</v>
          </cell>
        </row>
        <row r="127">
          <cell r="B127" t="str">
            <v>KUKUH HARI WIDIYANTO</v>
          </cell>
          <cell r="C127">
            <v>18688</v>
          </cell>
          <cell r="D127" t="str">
            <v>P</v>
          </cell>
          <cell r="E127" t="str">
            <v>K</v>
          </cell>
          <cell r="F127" t="str">
            <v>PLANT</v>
          </cell>
          <cell r="G127" t="str">
            <v>SUPPORT</v>
          </cell>
          <cell r="H127" t="str">
            <v>Trainee Mechanic</v>
          </cell>
          <cell r="I127" t="str">
            <v>S</v>
          </cell>
          <cell r="J127">
            <v>1316000</v>
          </cell>
          <cell r="K127">
            <v>0</v>
          </cell>
          <cell r="L127">
            <v>25000</v>
          </cell>
          <cell r="M127">
            <v>15000</v>
          </cell>
          <cell r="N127">
            <v>40043</v>
          </cell>
        </row>
        <row r="128">
          <cell r="B128" t="str">
            <v>YULIANSYAH</v>
          </cell>
          <cell r="C128">
            <v>18689</v>
          </cell>
          <cell r="D128" t="str">
            <v>P</v>
          </cell>
          <cell r="E128" t="str">
            <v>K</v>
          </cell>
          <cell r="F128" t="str">
            <v>PLANT</v>
          </cell>
          <cell r="G128" t="str">
            <v>SUPPORT</v>
          </cell>
          <cell r="H128" t="str">
            <v>Plant Helper</v>
          </cell>
          <cell r="I128" t="str">
            <v>S</v>
          </cell>
          <cell r="J128">
            <v>1153000</v>
          </cell>
          <cell r="K128">
            <v>0</v>
          </cell>
          <cell r="L128">
            <v>25000</v>
          </cell>
          <cell r="M128">
            <v>15000</v>
          </cell>
          <cell r="N128">
            <v>40043</v>
          </cell>
        </row>
        <row r="129">
          <cell r="B129" t="str">
            <v>ALI BAHUDIN</v>
          </cell>
          <cell r="C129">
            <v>18690</v>
          </cell>
          <cell r="D129" t="str">
            <v>P</v>
          </cell>
          <cell r="E129" t="str">
            <v>K</v>
          </cell>
          <cell r="F129" t="str">
            <v>PLANT</v>
          </cell>
          <cell r="G129" t="str">
            <v>SUPPORT</v>
          </cell>
          <cell r="H129" t="str">
            <v>Mechanic I</v>
          </cell>
          <cell r="I129" t="str">
            <v>M1</v>
          </cell>
          <cell r="J129">
            <v>1504000</v>
          </cell>
          <cell r="K129">
            <v>0</v>
          </cell>
          <cell r="L129">
            <v>25000</v>
          </cell>
          <cell r="M129">
            <v>15000</v>
          </cell>
          <cell r="N129">
            <v>40044</v>
          </cell>
        </row>
        <row r="130">
          <cell r="B130" t="str">
            <v>DESTY PALINGGI</v>
          </cell>
          <cell r="C130">
            <v>18691</v>
          </cell>
          <cell r="D130" t="str">
            <v>P</v>
          </cell>
          <cell r="E130" t="str">
            <v>K</v>
          </cell>
          <cell r="F130" t="str">
            <v>OPERATION</v>
          </cell>
          <cell r="G130" t="str">
            <v>OPERATION</v>
          </cell>
          <cell r="H130" t="str">
            <v>Operator III D (740)</v>
          </cell>
          <cell r="I130" t="str">
            <v>M0</v>
          </cell>
          <cell r="J130">
            <v>1323000</v>
          </cell>
          <cell r="K130">
            <v>0</v>
          </cell>
          <cell r="L130">
            <v>25000</v>
          </cell>
          <cell r="M130">
            <v>15000</v>
          </cell>
          <cell r="N130">
            <v>40045</v>
          </cell>
        </row>
        <row r="131">
          <cell r="B131" t="str">
            <v>I KOMANG DIANTARA</v>
          </cell>
          <cell r="C131">
            <v>18692</v>
          </cell>
          <cell r="D131" t="str">
            <v>P</v>
          </cell>
          <cell r="E131" t="str">
            <v>K</v>
          </cell>
          <cell r="F131" t="str">
            <v>OPERATION</v>
          </cell>
          <cell r="G131" t="str">
            <v>OPERATION</v>
          </cell>
          <cell r="H131" t="str">
            <v>Operator III D (740)</v>
          </cell>
          <cell r="I131" t="str">
            <v>M0</v>
          </cell>
          <cell r="J131">
            <v>1323000</v>
          </cell>
          <cell r="K131">
            <v>0</v>
          </cell>
          <cell r="L131">
            <v>25000</v>
          </cell>
          <cell r="M131">
            <v>15000</v>
          </cell>
          <cell r="N131">
            <v>40045</v>
          </cell>
        </row>
        <row r="132">
          <cell r="B132" t="str">
            <v>AFIF MARDIANTO</v>
          </cell>
          <cell r="C132">
            <v>18693</v>
          </cell>
          <cell r="D132" t="str">
            <v>P</v>
          </cell>
          <cell r="E132" t="str">
            <v>K</v>
          </cell>
          <cell r="F132" t="str">
            <v>OPERATION</v>
          </cell>
          <cell r="G132" t="str">
            <v>OPERATION</v>
          </cell>
          <cell r="H132" t="str">
            <v>Operator III D (740)</v>
          </cell>
          <cell r="I132" t="str">
            <v>M3</v>
          </cell>
          <cell r="J132">
            <v>1323000</v>
          </cell>
          <cell r="K132">
            <v>0</v>
          </cell>
          <cell r="L132">
            <v>25000</v>
          </cell>
          <cell r="M132">
            <v>15000</v>
          </cell>
          <cell r="N132">
            <v>40045</v>
          </cell>
        </row>
        <row r="133">
          <cell r="B133" t="str">
            <v>MUHAMMAD YANI</v>
          </cell>
          <cell r="C133">
            <v>18694</v>
          </cell>
          <cell r="D133" t="str">
            <v>P</v>
          </cell>
          <cell r="E133" t="str">
            <v>K</v>
          </cell>
          <cell r="F133" t="str">
            <v>OPERATION</v>
          </cell>
          <cell r="G133" t="str">
            <v>OPERATION</v>
          </cell>
          <cell r="H133" t="str">
            <v>Operator III D (740)</v>
          </cell>
          <cell r="I133" t="str">
            <v>M3</v>
          </cell>
          <cell r="J133">
            <v>1323000</v>
          </cell>
          <cell r="K133">
            <v>0</v>
          </cell>
          <cell r="L133">
            <v>25000</v>
          </cell>
          <cell r="M133">
            <v>15000</v>
          </cell>
          <cell r="N133">
            <v>40045</v>
          </cell>
        </row>
        <row r="134">
          <cell r="B134" t="str">
            <v>JAMALUDDIN</v>
          </cell>
          <cell r="C134">
            <v>18695</v>
          </cell>
          <cell r="D134" t="str">
            <v>P</v>
          </cell>
          <cell r="E134" t="str">
            <v>K</v>
          </cell>
          <cell r="F134" t="str">
            <v>OPERATION</v>
          </cell>
          <cell r="G134" t="str">
            <v>OPERATION</v>
          </cell>
          <cell r="H134" t="str">
            <v>Operator III D (740)</v>
          </cell>
          <cell r="I134" t="str">
            <v>M1</v>
          </cell>
          <cell r="J134">
            <v>1323000</v>
          </cell>
          <cell r="K134">
            <v>0</v>
          </cell>
          <cell r="L134">
            <v>25000</v>
          </cell>
          <cell r="M134">
            <v>15000</v>
          </cell>
          <cell r="N134">
            <v>40045</v>
          </cell>
        </row>
        <row r="135">
          <cell r="B135" t="str">
            <v>BERNADUS ARRUAN LINGGI</v>
          </cell>
          <cell r="C135">
            <v>18696</v>
          </cell>
          <cell r="D135" t="str">
            <v>P</v>
          </cell>
          <cell r="E135" t="str">
            <v>K</v>
          </cell>
          <cell r="F135" t="str">
            <v>OPERATION</v>
          </cell>
          <cell r="G135" t="str">
            <v>OPERATION</v>
          </cell>
          <cell r="H135" t="str">
            <v>Operator III D (740)</v>
          </cell>
          <cell r="I135" t="str">
            <v>S</v>
          </cell>
          <cell r="J135">
            <v>1323000</v>
          </cell>
          <cell r="K135">
            <v>0</v>
          </cell>
          <cell r="L135">
            <v>25000</v>
          </cell>
          <cell r="M135">
            <v>15000</v>
          </cell>
          <cell r="N135">
            <v>40045</v>
          </cell>
        </row>
        <row r="136">
          <cell r="B136" t="str">
            <v>AMOS ENOP</v>
          </cell>
          <cell r="C136">
            <v>18697</v>
          </cell>
          <cell r="D136" t="str">
            <v>P</v>
          </cell>
          <cell r="E136" t="str">
            <v>K</v>
          </cell>
          <cell r="F136" t="str">
            <v>OPERATION</v>
          </cell>
          <cell r="G136" t="str">
            <v>OPERATION</v>
          </cell>
          <cell r="H136" t="str">
            <v>Operator III D (740)</v>
          </cell>
          <cell r="I136" t="str">
            <v>S</v>
          </cell>
          <cell r="J136">
            <v>1323000</v>
          </cell>
          <cell r="K136">
            <v>0</v>
          </cell>
          <cell r="L136">
            <v>25000</v>
          </cell>
          <cell r="M136">
            <v>15000</v>
          </cell>
          <cell r="N136">
            <v>40047</v>
          </cell>
        </row>
        <row r="137">
          <cell r="B137" t="str">
            <v>ROMY HERPIANTO</v>
          </cell>
          <cell r="C137">
            <v>16704</v>
          </cell>
          <cell r="D137" t="str">
            <v>P</v>
          </cell>
          <cell r="E137" t="str">
            <v>K</v>
          </cell>
          <cell r="F137" t="str">
            <v>OPERATION</v>
          </cell>
          <cell r="G137" t="str">
            <v>OPERATION</v>
          </cell>
          <cell r="H137" t="str">
            <v>Operator III D (EXCAVATOR)</v>
          </cell>
          <cell r="J137">
            <v>1323000</v>
          </cell>
          <cell r="K137">
            <v>0</v>
          </cell>
          <cell r="L137">
            <v>25000</v>
          </cell>
          <cell r="M137">
            <v>15000</v>
          </cell>
        </row>
        <row r="138">
          <cell r="B138" t="str">
            <v>DAMAI TAHAN UJI</v>
          </cell>
          <cell r="C138">
            <v>17877</v>
          </cell>
          <cell r="D138" t="str">
            <v>P</v>
          </cell>
          <cell r="E138" t="str">
            <v>K</v>
          </cell>
          <cell r="F138" t="str">
            <v>OPERATION</v>
          </cell>
          <cell r="G138" t="str">
            <v>OPERATION</v>
          </cell>
          <cell r="H138" t="str">
            <v>Operator III D (EXCAVATOR)</v>
          </cell>
          <cell r="J138">
            <v>1323000</v>
          </cell>
          <cell r="K138">
            <v>0</v>
          </cell>
          <cell r="L138">
            <v>25000</v>
          </cell>
          <cell r="M138">
            <v>15000</v>
          </cell>
        </row>
        <row r="139">
          <cell r="B139" t="str">
            <v>SARJU</v>
          </cell>
          <cell r="C139">
            <v>17876</v>
          </cell>
          <cell r="D139" t="str">
            <v>P</v>
          </cell>
          <cell r="E139" t="str">
            <v>K</v>
          </cell>
          <cell r="F139" t="str">
            <v>OPERATION</v>
          </cell>
          <cell r="G139" t="str">
            <v>OPERATION</v>
          </cell>
          <cell r="H139" t="str">
            <v>Operator III D (EXCAVATOR)</v>
          </cell>
          <cell r="J139">
            <v>1323000</v>
          </cell>
          <cell r="K139">
            <v>0</v>
          </cell>
          <cell r="L139">
            <v>25000</v>
          </cell>
          <cell r="M139">
            <v>15000</v>
          </cell>
        </row>
        <row r="140">
          <cell r="B140" t="str">
            <v>RAHMAT JAILANI</v>
          </cell>
          <cell r="C140" t="str">
            <v>New1</v>
          </cell>
          <cell r="D140" t="str">
            <v>P</v>
          </cell>
          <cell r="E140" t="str">
            <v>K</v>
          </cell>
          <cell r="F140" t="str">
            <v>PLANT</v>
          </cell>
          <cell r="G140" t="str">
            <v>SUPPORT</v>
          </cell>
          <cell r="H140" t="str">
            <v>Mechanic I</v>
          </cell>
          <cell r="J140">
            <v>1504000</v>
          </cell>
          <cell r="K140">
            <v>0</v>
          </cell>
          <cell r="L140">
            <v>25000</v>
          </cell>
          <cell r="M140">
            <v>15000</v>
          </cell>
          <cell r="N140">
            <v>40052</v>
          </cell>
        </row>
        <row r="141">
          <cell r="B141" t="str">
            <v>SUYANTO</v>
          </cell>
          <cell r="C141">
            <v>9333</v>
          </cell>
          <cell r="D141" t="str">
            <v>P</v>
          </cell>
          <cell r="E141" t="str">
            <v>P</v>
          </cell>
          <cell r="F141" t="str">
            <v>PLANT</v>
          </cell>
          <cell r="G141" t="str">
            <v>SUPPORT</v>
          </cell>
          <cell r="H141" t="str">
            <v>Trainee Mechanic</v>
          </cell>
          <cell r="I141" t="str">
            <v>M1</v>
          </cell>
          <cell r="J141">
            <v>1426000</v>
          </cell>
          <cell r="K141">
            <v>325000</v>
          </cell>
          <cell r="L141">
            <v>25000</v>
          </cell>
          <cell r="M141">
            <v>15000</v>
          </cell>
        </row>
        <row r="142">
          <cell r="B142" t="str">
            <v>SON SON SUDARSONO</v>
          </cell>
          <cell r="C142">
            <v>10989</v>
          </cell>
          <cell r="D142" t="str">
            <v>P</v>
          </cell>
          <cell r="E142" t="str">
            <v>P</v>
          </cell>
          <cell r="F142" t="str">
            <v>PLANT</v>
          </cell>
          <cell r="G142" t="str">
            <v>SUPPORT</v>
          </cell>
          <cell r="H142" t="str">
            <v>Trainee Mechanic</v>
          </cell>
          <cell r="I142" t="str">
            <v>S</v>
          </cell>
          <cell r="J142">
            <v>1426000</v>
          </cell>
          <cell r="K142">
            <v>325000</v>
          </cell>
          <cell r="L142">
            <v>25000</v>
          </cell>
          <cell r="M142">
            <v>15000</v>
          </cell>
        </row>
        <row r="143">
          <cell r="B143" t="str">
            <v>SARIPUDIN</v>
          </cell>
          <cell r="C143">
            <v>7186</v>
          </cell>
          <cell r="D143" t="str">
            <v>P</v>
          </cell>
          <cell r="E143" t="str">
            <v>P</v>
          </cell>
          <cell r="F143" t="str">
            <v>PLANT</v>
          </cell>
          <cell r="G143" t="str">
            <v>SUPPORT</v>
          </cell>
          <cell r="H143" t="str">
            <v>Mechanic I</v>
          </cell>
          <cell r="I143" t="str">
            <v>M1</v>
          </cell>
          <cell r="J143">
            <v>1550000</v>
          </cell>
          <cell r="K143">
            <v>325000</v>
          </cell>
          <cell r="L143">
            <v>25000</v>
          </cell>
          <cell r="M143">
            <v>15000</v>
          </cell>
        </row>
        <row r="144">
          <cell r="B144" t="str">
            <v>DONNY HARIANTO</v>
          </cell>
          <cell r="C144">
            <v>7515</v>
          </cell>
          <cell r="D144" t="str">
            <v>P</v>
          </cell>
          <cell r="E144" t="str">
            <v>P</v>
          </cell>
          <cell r="F144" t="str">
            <v>PLANT</v>
          </cell>
          <cell r="G144" t="str">
            <v>SUPPORT</v>
          </cell>
          <cell r="H144" t="str">
            <v>Wlder III</v>
          </cell>
          <cell r="I144" t="str">
            <v>S</v>
          </cell>
          <cell r="J144">
            <v>1426000</v>
          </cell>
          <cell r="K144">
            <v>325000</v>
          </cell>
          <cell r="L144">
            <v>25000</v>
          </cell>
          <cell r="M144">
            <v>15000</v>
          </cell>
        </row>
        <row r="145">
          <cell r="B145" t="str">
            <v>SULISWANTO BULEAN</v>
          </cell>
          <cell r="C145">
            <v>17184</v>
          </cell>
          <cell r="D145" t="str">
            <v>P</v>
          </cell>
          <cell r="E145" t="str">
            <v>K</v>
          </cell>
          <cell r="F145" t="str">
            <v>OPERATION</v>
          </cell>
          <cell r="G145" t="str">
            <v>OPERATION</v>
          </cell>
          <cell r="I145" t="str">
            <v>M1</v>
          </cell>
          <cell r="J145">
            <v>1323000</v>
          </cell>
          <cell r="K145">
            <v>0</v>
          </cell>
          <cell r="L145">
            <v>25000</v>
          </cell>
          <cell r="M145">
            <v>15000</v>
          </cell>
        </row>
        <row r="146">
          <cell r="B146" t="str">
            <v>BUDIARTO</v>
          </cell>
          <cell r="C146">
            <v>17882</v>
          </cell>
          <cell r="D146" t="str">
            <v>P</v>
          </cell>
          <cell r="E146" t="str">
            <v>K</v>
          </cell>
          <cell r="F146" t="str">
            <v>OPERATION</v>
          </cell>
          <cell r="G146" t="str">
            <v>OPERATION</v>
          </cell>
          <cell r="J146">
            <v>1323000</v>
          </cell>
          <cell r="K146">
            <v>0</v>
          </cell>
          <cell r="L146">
            <v>25000</v>
          </cell>
          <cell r="M146">
            <v>15000</v>
          </cell>
        </row>
        <row r="147">
          <cell r="B147" t="str">
            <v>YUARNO BATUIL</v>
          </cell>
          <cell r="C147">
            <v>17792</v>
          </cell>
          <cell r="D147" t="str">
            <v>P</v>
          </cell>
          <cell r="E147" t="str">
            <v>K</v>
          </cell>
          <cell r="F147" t="str">
            <v>OPERATION</v>
          </cell>
          <cell r="G147" t="str">
            <v>OPERATION</v>
          </cell>
          <cell r="J147">
            <v>1323000</v>
          </cell>
          <cell r="K147">
            <v>0</v>
          </cell>
          <cell r="L147">
            <v>25000</v>
          </cell>
          <cell r="M147">
            <v>15000</v>
          </cell>
        </row>
        <row r="148">
          <cell r="B148" t="str">
            <v>YOHANES KAMDI</v>
          </cell>
          <cell r="C148">
            <v>18398</v>
          </cell>
          <cell r="D148" t="str">
            <v>P</v>
          </cell>
          <cell r="E148" t="str">
            <v>K</v>
          </cell>
          <cell r="F148" t="str">
            <v>OPERATION</v>
          </cell>
          <cell r="G148" t="str">
            <v>OPERATION</v>
          </cell>
          <cell r="J148">
            <v>1323000</v>
          </cell>
          <cell r="K148">
            <v>0</v>
          </cell>
          <cell r="L148">
            <v>25000</v>
          </cell>
          <cell r="M148">
            <v>15000</v>
          </cell>
        </row>
        <row r="149">
          <cell r="B149" t="str">
            <v>AGUS HARIYANTO</v>
          </cell>
          <cell r="C149">
            <v>17481</v>
          </cell>
          <cell r="D149" t="str">
            <v>P</v>
          </cell>
          <cell r="F149" t="str">
            <v>PLANT</v>
          </cell>
          <cell r="G149" t="str">
            <v>SUPPORT</v>
          </cell>
          <cell r="H149" t="str">
            <v>Mechanic I</v>
          </cell>
          <cell r="J149">
            <v>1550000</v>
          </cell>
          <cell r="K149">
            <v>325000</v>
          </cell>
          <cell r="L149">
            <v>25000</v>
          </cell>
          <cell r="M149">
            <v>15000</v>
          </cell>
        </row>
        <row r="150">
          <cell r="B150" t="str">
            <v>DWI FITRIADI</v>
          </cell>
          <cell r="C150">
            <v>15516</v>
          </cell>
          <cell r="D150" t="str">
            <v>P</v>
          </cell>
          <cell r="F150" t="str">
            <v>PLANT</v>
          </cell>
          <cell r="G150" t="str">
            <v>SUPPORT</v>
          </cell>
          <cell r="H150" t="str">
            <v>Mechanic II</v>
          </cell>
          <cell r="J150">
            <v>1814000</v>
          </cell>
          <cell r="K150">
            <v>325000</v>
          </cell>
          <cell r="L150">
            <v>25000</v>
          </cell>
          <cell r="M150">
            <v>15000</v>
          </cell>
        </row>
        <row r="151">
          <cell r="B151" t="str">
            <v>ABDUL WAHID</v>
          </cell>
          <cell r="C151">
            <v>15517</v>
          </cell>
          <cell r="D151" t="str">
            <v>P</v>
          </cell>
          <cell r="F151" t="str">
            <v>PLANT</v>
          </cell>
          <cell r="G151" t="str">
            <v>SUPPORT</v>
          </cell>
          <cell r="H151" t="str">
            <v>Mechanic II</v>
          </cell>
          <cell r="J151">
            <v>1814000</v>
          </cell>
          <cell r="K151">
            <v>325000</v>
          </cell>
          <cell r="L151">
            <v>25000</v>
          </cell>
          <cell r="M151">
            <v>15000</v>
          </cell>
        </row>
        <row r="152">
          <cell r="B152" t="str">
            <v>MUHAMMAD SOPIANI</v>
          </cell>
          <cell r="C152">
            <v>5451</v>
          </cell>
          <cell r="D152" t="str">
            <v>P</v>
          </cell>
          <cell r="F152" t="str">
            <v>PLANT</v>
          </cell>
          <cell r="G152" t="str">
            <v>SUPPORT</v>
          </cell>
          <cell r="H152" t="str">
            <v>Mechanic I</v>
          </cell>
          <cell r="J152">
            <v>1550000</v>
          </cell>
          <cell r="K152">
            <v>325000</v>
          </cell>
          <cell r="L152">
            <v>25000</v>
          </cell>
          <cell r="M152">
            <v>15000</v>
          </cell>
        </row>
        <row r="153">
          <cell r="B153" t="str">
            <v>ABDUL RAHMAN S</v>
          </cell>
          <cell r="C153">
            <v>11000</v>
          </cell>
          <cell r="D153" t="str">
            <v>P</v>
          </cell>
          <cell r="E153" t="str">
            <v>P</v>
          </cell>
          <cell r="F153" t="str">
            <v>PLANT</v>
          </cell>
          <cell r="G153" t="str">
            <v>SUPPORT</v>
          </cell>
          <cell r="H153" t="str">
            <v>Trainee Mechanic</v>
          </cell>
          <cell r="J153">
            <v>1357000</v>
          </cell>
          <cell r="K153">
            <v>325000</v>
          </cell>
          <cell r="L153">
            <v>25000</v>
          </cell>
          <cell r="M153">
            <v>15000</v>
          </cell>
          <cell r="N153">
            <v>39016</v>
          </cell>
        </row>
        <row r="154">
          <cell r="B154" t="str">
            <v>GUNTUR ADE KRISHNAMURTI</v>
          </cell>
          <cell r="C154" t="str">
            <v>New3</v>
          </cell>
          <cell r="D154" t="str">
            <v>P</v>
          </cell>
          <cell r="E154" t="str">
            <v>K</v>
          </cell>
          <cell r="F154" t="str">
            <v>PLANT</v>
          </cell>
          <cell r="G154" t="str">
            <v>SUPPORT</v>
          </cell>
          <cell r="H154" t="str">
            <v>Trainee Mechanic</v>
          </cell>
          <cell r="I154" t="str">
            <v>S</v>
          </cell>
          <cell r="J154">
            <v>1316000</v>
          </cell>
          <cell r="K154">
            <v>325000</v>
          </cell>
          <cell r="L154">
            <v>25000</v>
          </cell>
          <cell r="M154">
            <v>15000</v>
          </cell>
          <cell r="N154">
            <v>40049</v>
          </cell>
        </row>
        <row r="155">
          <cell r="B155" t="str">
            <v>PUTRA YUDA PRATAMA</v>
          </cell>
          <cell r="C155" t="str">
            <v>New4</v>
          </cell>
          <cell r="D155" t="str">
            <v>P</v>
          </cell>
          <cell r="E155" t="str">
            <v>K</v>
          </cell>
          <cell r="F155" t="str">
            <v>PLANT</v>
          </cell>
          <cell r="G155" t="str">
            <v>SUPPORT</v>
          </cell>
          <cell r="H155" t="str">
            <v>Trainee Mechanic</v>
          </cell>
          <cell r="I155" t="str">
            <v>S</v>
          </cell>
          <cell r="J155">
            <v>1316000</v>
          </cell>
          <cell r="K155">
            <v>325000</v>
          </cell>
          <cell r="L155">
            <v>25000</v>
          </cell>
          <cell r="M155">
            <v>15000</v>
          </cell>
          <cell r="N155">
            <v>40049</v>
          </cell>
        </row>
        <row r="156">
          <cell r="B156" t="str">
            <v>AGUS BUDIANTO</v>
          </cell>
          <cell r="C156" t="str">
            <v>New5</v>
          </cell>
          <cell r="D156" t="str">
            <v>P</v>
          </cell>
          <cell r="E156" t="str">
            <v>K</v>
          </cell>
          <cell r="F156" t="str">
            <v>PLANT</v>
          </cell>
          <cell r="G156" t="str">
            <v>SUPPORT</v>
          </cell>
          <cell r="H156" t="str">
            <v>Trainee Mechanic</v>
          </cell>
          <cell r="I156" t="str">
            <v>S</v>
          </cell>
          <cell r="J156">
            <v>1316000</v>
          </cell>
          <cell r="K156">
            <v>325000</v>
          </cell>
          <cell r="L156">
            <v>25000</v>
          </cell>
          <cell r="M156">
            <v>15000</v>
          </cell>
          <cell r="N156">
            <v>40049</v>
          </cell>
        </row>
        <row r="157">
          <cell r="B157" t="str">
            <v>FITRIANA NASRUN</v>
          </cell>
          <cell r="C157" t="str">
            <v>New6</v>
          </cell>
          <cell r="D157" t="str">
            <v>W</v>
          </cell>
          <cell r="E157" t="str">
            <v>K</v>
          </cell>
          <cell r="F157" t="str">
            <v>WAREHOUSE</v>
          </cell>
          <cell r="G157" t="str">
            <v>SUPPORT</v>
          </cell>
          <cell r="H157" t="str">
            <v>Admint. Logistik</v>
          </cell>
          <cell r="I157" t="str">
            <v>S</v>
          </cell>
          <cell r="J157">
            <v>1153000</v>
          </cell>
          <cell r="K157">
            <v>0</v>
          </cell>
          <cell r="L157">
            <v>25000</v>
          </cell>
          <cell r="M157">
            <v>15000</v>
          </cell>
          <cell r="N157">
            <v>40065</v>
          </cell>
        </row>
        <row r="158">
          <cell r="B158" t="str">
            <v>URBANUS MANGESA</v>
          </cell>
          <cell r="C158" t="str">
            <v>New7</v>
          </cell>
          <cell r="D158" t="str">
            <v>P</v>
          </cell>
          <cell r="E158" t="str">
            <v>K</v>
          </cell>
          <cell r="F158" t="str">
            <v>OPERATION</v>
          </cell>
          <cell r="G158" t="str">
            <v>OPERATION</v>
          </cell>
          <cell r="H158" t="str">
            <v>Operator 773 (3D - New Hire)</v>
          </cell>
          <cell r="I158" t="str">
            <v>S</v>
          </cell>
          <cell r="J158">
            <v>1323000</v>
          </cell>
          <cell r="K158">
            <v>0</v>
          </cell>
          <cell r="L158">
            <v>25000</v>
          </cell>
          <cell r="M158">
            <v>15000</v>
          </cell>
          <cell r="N158">
            <v>40065</v>
          </cell>
        </row>
        <row r="159">
          <cell r="B159" t="str">
            <v>SAHRUDDIN</v>
          </cell>
          <cell r="C159" t="str">
            <v>New8</v>
          </cell>
          <cell r="D159" t="str">
            <v>P</v>
          </cell>
          <cell r="E159" t="str">
            <v>K</v>
          </cell>
          <cell r="F159" t="str">
            <v>WAREHOUSE</v>
          </cell>
          <cell r="G159" t="str">
            <v>SUPPORT</v>
          </cell>
          <cell r="H159" t="str">
            <v>Helper Warehouse</v>
          </cell>
          <cell r="I159" t="str">
            <v>S</v>
          </cell>
          <cell r="J159">
            <v>1150000</v>
          </cell>
          <cell r="K159">
            <v>0</v>
          </cell>
          <cell r="L159">
            <v>25000</v>
          </cell>
          <cell r="M159">
            <v>15000</v>
          </cell>
          <cell r="N159">
            <v>40065</v>
          </cell>
        </row>
        <row r="160">
          <cell r="B160" t="str">
            <v>ASDAR SYAMSU</v>
          </cell>
          <cell r="C160" t="str">
            <v>New9</v>
          </cell>
          <cell r="D160" t="str">
            <v>P</v>
          </cell>
          <cell r="E160" t="str">
            <v>K</v>
          </cell>
          <cell r="F160" t="str">
            <v>OPERATION</v>
          </cell>
          <cell r="G160" t="str">
            <v>SUPPORT</v>
          </cell>
          <cell r="H160" t="str">
            <v>Helper Operation</v>
          </cell>
          <cell r="I160" t="str">
            <v>M1</v>
          </cell>
          <cell r="J160">
            <v>1150000</v>
          </cell>
          <cell r="K160">
            <v>0</v>
          </cell>
          <cell r="L160">
            <v>25000</v>
          </cell>
          <cell r="M160">
            <v>15000</v>
          </cell>
          <cell r="N160">
            <v>40066</v>
          </cell>
        </row>
        <row r="161">
          <cell r="B161" t="str">
            <v>ALIAS</v>
          </cell>
          <cell r="C161" t="str">
            <v>New10</v>
          </cell>
          <cell r="D161" t="str">
            <v>P</v>
          </cell>
          <cell r="E161" t="str">
            <v>K</v>
          </cell>
          <cell r="F161" t="str">
            <v>OPERATION</v>
          </cell>
          <cell r="G161" t="str">
            <v>SUPPORT</v>
          </cell>
          <cell r="H161" t="str">
            <v>Helper Operation</v>
          </cell>
          <cell r="I161" t="str">
            <v>S</v>
          </cell>
          <cell r="J161">
            <v>1150000</v>
          </cell>
          <cell r="K161">
            <v>0</v>
          </cell>
          <cell r="L161">
            <v>25000</v>
          </cell>
          <cell r="M161">
            <v>15000</v>
          </cell>
          <cell r="N161">
            <v>40066</v>
          </cell>
        </row>
        <row r="162">
          <cell r="B162" t="str">
            <v>HARDIANSYAH</v>
          </cell>
          <cell r="C162" t="str">
            <v>New11</v>
          </cell>
          <cell r="D162" t="str">
            <v>P</v>
          </cell>
          <cell r="E162" t="str">
            <v>K</v>
          </cell>
          <cell r="F162" t="str">
            <v>OPERATION</v>
          </cell>
          <cell r="G162" t="str">
            <v>SUPPORT</v>
          </cell>
          <cell r="H162" t="str">
            <v>Helper Operation</v>
          </cell>
          <cell r="I162" t="str">
            <v>S</v>
          </cell>
          <cell r="J162">
            <v>1150000</v>
          </cell>
          <cell r="K162">
            <v>0</v>
          </cell>
          <cell r="L162">
            <v>25000</v>
          </cell>
          <cell r="M162">
            <v>15000</v>
          </cell>
          <cell r="N162">
            <v>40066</v>
          </cell>
        </row>
        <row r="182">
          <cell r="G182" t="str">
            <v>(ONLY electrician, mechanic, mechanic trainee, helper mechanic)</v>
          </cell>
        </row>
        <row r="183">
          <cell r="E183" t="str">
            <v>SUMMARY DATA MANPOWER</v>
          </cell>
        </row>
        <row r="185">
          <cell r="E185" t="str">
            <v>TOTAL MANPOWER</v>
          </cell>
          <cell r="H185" t="str">
            <v>Orang</v>
          </cell>
        </row>
        <row r="187">
          <cell r="E187" t="str">
            <v>Manpower Menurut Jenis Kelamin :</v>
          </cell>
        </row>
        <row r="188">
          <cell r="E188" t="str">
            <v>Pria</v>
          </cell>
          <cell r="G188">
            <v>85</v>
          </cell>
          <cell r="H188" t="str">
            <v>Orang</v>
          </cell>
        </row>
        <row r="189">
          <cell r="E189" t="str">
            <v>Wanita</v>
          </cell>
          <cell r="G189">
            <v>0</v>
          </cell>
          <cell r="H189" t="str">
            <v>Orang</v>
          </cell>
        </row>
        <row r="191">
          <cell r="E191" t="str">
            <v>Manpower Menurut Status Kontrak :</v>
          </cell>
        </row>
        <row r="192">
          <cell r="E192" t="str">
            <v>Permanent</v>
          </cell>
          <cell r="G192">
            <v>68</v>
          </cell>
          <cell r="H192" t="str">
            <v>Orang</v>
          </cell>
        </row>
        <row r="193">
          <cell r="E193" t="str">
            <v>Kontrak</v>
          </cell>
          <cell r="G193">
            <v>9</v>
          </cell>
          <cell r="H193" t="str">
            <v>Orang</v>
          </cell>
        </row>
        <row r="194">
          <cell r="E194" t="str">
            <v>Addendum</v>
          </cell>
          <cell r="G194">
            <v>7</v>
          </cell>
          <cell r="H194" t="str">
            <v>Orang</v>
          </cell>
        </row>
        <row r="195">
          <cell r="E195" t="str">
            <v>Kontrak Pembaharuan</v>
          </cell>
          <cell r="G195">
            <v>1</v>
          </cell>
          <cell r="H195" t="str">
            <v>Orang</v>
          </cell>
        </row>
        <row r="197">
          <cell r="E197" t="str">
            <v>Manpower Menurut Departemen :</v>
          </cell>
        </row>
        <row r="198">
          <cell r="E198" t="str">
            <v>Operation</v>
          </cell>
          <cell r="G198">
            <v>50</v>
          </cell>
          <cell r="H198" t="str">
            <v>Orang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ET 05"/>
      <sheetName val="APRIL 05"/>
      <sheetName val="1"/>
      <sheetName val="APRIL"/>
      <sheetName val="MARET_05"/>
      <sheetName val="APRIL_05"/>
      <sheetName val="MARET_051"/>
      <sheetName val="APRIL_051"/>
    </sheetNames>
    <sheetDataSet>
      <sheetData sheetId="0">
        <row r="8">
          <cell r="C8" t="str">
            <v>Eko Suharsono</v>
          </cell>
        </row>
        <row r="9">
          <cell r="C9" t="str">
            <v>Henry Nababan</v>
          </cell>
        </row>
        <row r="10">
          <cell r="C10" t="str">
            <v>Ade Purna Irawan</v>
          </cell>
        </row>
        <row r="11">
          <cell r="C11" t="str">
            <v>Iskhak</v>
          </cell>
        </row>
        <row r="12">
          <cell r="C12" t="str">
            <v>M Iskandar</v>
          </cell>
        </row>
        <row r="13">
          <cell r="C13" t="str">
            <v>Warsito</v>
          </cell>
        </row>
        <row r="14">
          <cell r="C14" t="str">
            <v xml:space="preserve">Junaidi </v>
          </cell>
        </row>
        <row r="15">
          <cell r="C15" t="str">
            <v>Mohamad Lutfi</v>
          </cell>
        </row>
        <row r="17">
          <cell r="C17" t="str">
            <v>Bilman R</v>
          </cell>
        </row>
        <row r="18">
          <cell r="C18" t="str">
            <v>Irpani</v>
          </cell>
        </row>
        <row r="19">
          <cell r="C19" t="str">
            <v>Sapri HM Idris</v>
          </cell>
        </row>
        <row r="20">
          <cell r="C20" t="str">
            <v>Sentit Ari Basuki</v>
          </cell>
        </row>
        <row r="21">
          <cell r="C21" t="str">
            <v>Teddy Paputungan</v>
          </cell>
        </row>
        <row r="22">
          <cell r="C22" t="str">
            <v>Sam Gultom Merson</v>
          </cell>
        </row>
        <row r="23">
          <cell r="C23" t="str">
            <v>Zulkhairi</v>
          </cell>
        </row>
        <row r="25">
          <cell r="C25" t="str">
            <v>Buyadi</v>
          </cell>
        </row>
        <row r="26">
          <cell r="C26" t="str">
            <v>M. Rois</v>
          </cell>
        </row>
        <row r="27">
          <cell r="C27" t="str">
            <v>Sugeng Herwanto</v>
          </cell>
        </row>
        <row r="29">
          <cell r="C29" t="str">
            <v>Andi Kumba</v>
          </cell>
        </row>
        <row r="30">
          <cell r="C30" t="str">
            <v>Ismail</v>
          </cell>
        </row>
        <row r="31">
          <cell r="C31" t="str">
            <v>Andri</v>
          </cell>
        </row>
        <row r="32">
          <cell r="C32" t="str">
            <v>Tahan S</v>
          </cell>
        </row>
        <row r="34">
          <cell r="C34" t="str">
            <v>Januri</v>
          </cell>
        </row>
        <row r="35">
          <cell r="C35" t="str">
            <v>Sahrani</v>
          </cell>
        </row>
        <row r="36">
          <cell r="C36" t="str">
            <v>Zairianur</v>
          </cell>
        </row>
        <row r="37">
          <cell r="C37" t="str">
            <v>Hamran</v>
          </cell>
        </row>
        <row r="38">
          <cell r="C38" t="str">
            <v>Agus Riadi</v>
          </cell>
        </row>
        <row r="39">
          <cell r="C39" t="str">
            <v>Sulaiman</v>
          </cell>
        </row>
        <row r="40">
          <cell r="C40" t="str">
            <v>Nando Simamora</v>
          </cell>
        </row>
        <row r="42">
          <cell r="C42" t="str">
            <v>Batas Manalu</v>
          </cell>
        </row>
        <row r="43">
          <cell r="C43" t="str">
            <v>Ferry</v>
          </cell>
        </row>
        <row r="44">
          <cell r="C44" t="str">
            <v>Fredye James H</v>
          </cell>
        </row>
        <row r="45">
          <cell r="C45" t="str">
            <v>Sarbani</v>
          </cell>
        </row>
        <row r="46">
          <cell r="C46" t="str">
            <v>Suyadi</v>
          </cell>
        </row>
        <row r="47">
          <cell r="C47" t="str">
            <v>Panto</v>
          </cell>
        </row>
        <row r="48">
          <cell r="C48" t="str">
            <v>Sahrir</v>
          </cell>
        </row>
        <row r="49">
          <cell r="C49" t="str">
            <v>Sugiarto</v>
          </cell>
        </row>
        <row r="50">
          <cell r="C50" t="str">
            <v>Yacobus Kalla</v>
          </cell>
        </row>
        <row r="51">
          <cell r="C51" t="str">
            <v>Yan Sampe</v>
          </cell>
        </row>
        <row r="52">
          <cell r="C52" t="str">
            <v>Lukas U.D</v>
          </cell>
        </row>
        <row r="53">
          <cell r="C53" t="str">
            <v>Mustafa Ersyad</v>
          </cell>
        </row>
        <row r="54">
          <cell r="C54" t="str">
            <v>Nanang</v>
          </cell>
        </row>
        <row r="55">
          <cell r="C55" t="str">
            <v>Jamal</v>
          </cell>
        </row>
        <row r="57">
          <cell r="C57" t="str">
            <v>Andi baharudin</v>
          </cell>
        </row>
        <row r="58">
          <cell r="C58" t="str">
            <v>Mamang</v>
          </cell>
        </row>
        <row r="59">
          <cell r="C59" t="str">
            <v>Rusli</v>
          </cell>
        </row>
        <row r="60">
          <cell r="C60" t="str">
            <v>Sonly</v>
          </cell>
        </row>
        <row r="61">
          <cell r="C61" t="str">
            <v>Zakaria</v>
          </cell>
        </row>
        <row r="62">
          <cell r="C62" t="str">
            <v>Kamarudin</v>
          </cell>
        </row>
        <row r="64">
          <cell r="C64" t="str">
            <v>Abd Sahid</v>
          </cell>
        </row>
        <row r="65">
          <cell r="C65" t="str">
            <v>Alzuhri</v>
          </cell>
        </row>
        <row r="66">
          <cell r="C66" t="str">
            <v>Dody Ariyanto</v>
          </cell>
        </row>
        <row r="67">
          <cell r="C67" t="str">
            <v>Fransiskus B Hambun</v>
          </cell>
        </row>
        <row r="68">
          <cell r="C68" t="str">
            <v>Halalolon</v>
          </cell>
        </row>
        <row r="69">
          <cell r="C69" t="str">
            <v xml:space="preserve">Imam Safiin </v>
          </cell>
        </row>
        <row r="70">
          <cell r="C70" t="str">
            <v>Iwan agus Prasetyo</v>
          </cell>
        </row>
        <row r="71">
          <cell r="C71" t="str">
            <v>Lamrib Pangabean</v>
          </cell>
        </row>
        <row r="72">
          <cell r="C72" t="str">
            <v>M.Tahir</v>
          </cell>
        </row>
        <row r="73">
          <cell r="C73" t="str">
            <v>Sarju</v>
          </cell>
        </row>
        <row r="74">
          <cell r="C74" t="str">
            <v>Subari</v>
          </cell>
        </row>
        <row r="75">
          <cell r="C75" t="str">
            <v>Sudirman</v>
          </cell>
        </row>
        <row r="76">
          <cell r="C76" t="str">
            <v>Suripan</v>
          </cell>
        </row>
        <row r="77">
          <cell r="C77" t="str">
            <v>Syamsudin P</v>
          </cell>
        </row>
        <row r="78">
          <cell r="C78" t="str">
            <v>Wansul</v>
          </cell>
        </row>
        <row r="79">
          <cell r="C79" t="str">
            <v>Yuni Heriyawan</v>
          </cell>
        </row>
        <row r="80">
          <cell r="C80" t="str">
            <v>Muhammad Hatta</v>
          </cell>
        </row>
        <row r="81">
          <cell r="C81" t="str">
            <v>Amos Hadding</v>
          </cell>
        </row>
        <row r="83">
          <cell r="C83" t="str">
            <v>Iwansyah</v>
          </cell>
        </row>
        <row r="84">
          <cell r="C84" t="str">
            <v>Munawir</v>
          </cell>
        </row>
        <row r="85">
          <cell r="C85" t="str">
            <v>Suprayitno</v>
          </cell>
        </row>
        <row r="86">
          <cell r="C86" t="str">
            <v>Yunus Redy</v>
          </cell>
        </row>
        <row r="87">
          <cell r="C87" t="str">
            <v>Slamet Kasiono</v>
          </cell>
        </row>
        <row r="88">
          <cell r="C88" t="str">
            <v>Nanang W</v>
          </cell>
        </row>
        <row r="89">
          <cell r="C89" t="str">
            <v>Mashuri</v>
          </cell>
        </row>
        <row r="91">
          <cell r="C91" t="str">
            <v>Sudarsono B</v>
          </cell>
        </row>
        <row r="92">
          <cell r="C92" t="str">
            <v>Supardi</v>
          </cell>
        </row>
        <row r="93">
          <cell r="C93" t="str">
            <v>Sukardiono</v>
          </cell>
        </row>
        <row r="94">
          <cell r="C94" t="str">
            <v>Hendrik Tandiesak</v>
          </cell>
        </row>
        <row r="96">
          <cell r="C96" t="str">
            <v>Robby Binur</v>
          </cell>
        </row>
        <row r="97">
          <cell r="C97" t="str">
            <v>Sumarna</v>
          </cell>
        </row>
        <row r="98">
          <cell r="C98" t="str">
            <v>Sutardi</v>
          </cell>
        </row>
        <row r="100">
          <cell r="C100" t="str">
            <v>Laurensius Nama</v>
          </cell>
        </row>
        <row r="101">
          <cell r="C101" t="str">
            <v>Robiansyah</v>
          </cell>
        </row>
        <row r="102">
          <cell r="C102" t="str">
            <v>Rodi Hermawan</v>
          </cell>
        </row>
        <row r="103">
          <cell r="C103" t="str">
            <v>Rusdi</v>
          </cell>
        </row>
        <row r="104">
          <cell r="C104" t="str">
            <v>Yeremias</v>
          </cell>
        </row>
        <row r="105">
          <cell r="C105" t="str">
            <v>Abdul Muthalib</v>
          </cell>
        </row>
        <row r="106">
          <cell r="C106" t="str">
            <v>Philipus</v>
          </cell>
        </row>
        <row r="107">
          <cell r="C107" t="str">
            <v>Alfrets Noury Ipu</v>
          </cell>
        </row>
        <row r="108">
          <cell r="C108" t="str">
            <v>Muhammad Hatta A</v>
          </cell>
        </row>
        <row r="110">
          <cell r="C110" t="str">
            <v>Herman</v>
          </cell>
        </row>
        <row r="111">
          <cell r="C111" t="str">
            <v>Supriadi</v>
          </cell>
        </row>
        <row r="112">
          <cell r="C112" t="str">
            <v>Bastani</v>
          </cell>
        </row>
        <row r="113">
          <cell r="C113" t="str">
            <v>Mahmud Saleh</v>
          </cell>
        </row>
        <row r="114">
          <cell r="C114" t="str">
            <v>Suriansyah</v>
          </cell>
        </row>
        <row r="116">
          <cell r="C116" t="str">
            <v>Yusuf</v>
          </cell>
        </row>
        <row r="117">
          <cell r="C117" t="str">
            <v>Asbiransyah</v>
          </cell>
        </row>
        <row r="119">
          <cell r="C119" t="str">
            <v>Sudarsono A</v>
          </cell>
        </row>
        <row r="120">
          <cell r="C120" t="str">
            <v xml:space="preserve">I Made Artanaya Yuda </v>
          </cell>
        </row>
        <row r="122">
          <cell r="C122" t="str">
            <v>Budi Hartono</v>
          </cell>
        </row>
        <row r="123">
          <cell r="C123" t="str">
            <v>Mursi</v>
          </cell>
        </row>
        <row r="124">
          <cell r="C124" t="str">
            <v>Roniansyah</v>
          </cell>
        </row>
        <row r="125">
          <cell r="C125" t="str">
            <v>Suyendi</v>
          </cell>
        </row>
        <row r="126">
          <cell r="C126" t="str">
            <v>Ismid Rijani</v>
          </cell>
        </row>
        <row r="127">
          <cell r="C127" t="str">
            <v>Surya</v>
          </cell>
        </row>
        <row r="129">
          <cell r="C129" t="str">
            <v>Sepriyanto Sampe</v>
          </cell>
        </row>
        <row r="130">
          <cell r="C130" t="str">
            <v>Agus Irwanto</v>
          </cell>
        </row>
        <row r="131">
          <cell r="C131" t="str">
            <v>Ahmad Untung</v>
          </cell>
        </row>
        <row r="132">
          <cell r="C132" t="str">
            <v>Gondam Irawan</v>
          </cell>
        </row>
        <row r="133">
          <cell r="C133" t="str">
            <v>Maulana</v>
          </cell>
        </row>
        <row r="134">
          <cell r="C134" t="str">
            <v>Mujtahid</v>
          </cell>
        </row>
        <row r="135">
          <cell r="C135" t="str">
            <v>Setianto</v>
          </cell>
        </row>
      </sheetData>
      <sheetData sheetId="1"/>
      <sheetData sheetId="2" refreshError="1"/>
      <sheetData sheetId="3" refreshError="1"/>
      <sheetData sheetId="4">
        <row r="8">
          <cell r="C8" t="str">
            <v>Eko Suharsono</v>
          </cell>
        </row>
      </sheetData>
      <sheetData sheetId="5"/>
      <sheetData sheetId="6">
        <row r="8">
          <cell r="C8" t="str">
            <v>Eko Suharsono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5ABE-03D7-4247-9CBB-27CEC4806BD9}">
  <sheetPr filterMode="1">
    <tabColor rgb="FFFF0000"/>
  </sheetPr>
  <dimension ref="A2:R287"/>
  <sheetViews>
    <sheetView tabSelected="1" zoomScale="70" zoomScaleNormal="70" workbookViewId="0">
      <pane ySplit="10" topLeftCell="A278" activePane="bottomLeft" state="frozen"/>
      <selection activeCell="I736" sqref="I736"/>
      <selection pane="bottomLeft" activeCell="D288" sqref="D288"/>
    </sheetView>
  </sheetViews>
  <sheetFormatPr defaultColWidth="9.140625" defaultRowHeight="12.75"/>
  <cols>
    <col min="1" max="1" width="1.7109375" style="3" customWidth="1"/>
    <col min="2" max="2" width="4.7109375" style="3" customWidth="1"/>
    <col min="3" max="3" width="23.28515625" style="3" customWidth="1"/>
    <col min="4" max="4" width="25.42578125" style="3" customWidth="1"/>
    <col min="5" max="5" width="13.85546875" style="3" customWidth="1"/>
    <col min="6" max="6" width="48.5703125" style="3" customWidth="1"/>
    <col min="7" max="7" width="29.7109375" style="3" customWidth="1"/>
    <col min="8" max="8" width="15.42578125" style="3" customWidth="1"/>
    <col min="9" max="10" width="13.5703125" style="3" customWidth="1"/>
    <col min="11" max="11" width="14.5703125" style="13" customWidth="1"/>
    <col min="12" max="12" width="17" style="13" customWidth="1"/>
    <col min="13" max="13" width="18.85546875" style="13" customWidth="1"/>
    <col min="14" max="14" width="15.28515625" style="13" customWidth="1"/>
    <col min="15" max="15" width="27.42578125" style="3" customWidth="1"/>
    <col min="16" max="16" width="31.5703125" style="3" customWidth="1"/>
    <col min="17" max="17" width="22.5703125" style="3" customWidth="1"/>
    <col min="18" max="18" width="27.42578125" style="3" bestFit="1" customWidth="1"/>
    <col min="19" max="16384" width="9.140625" style="3"/>
  </cols>
  <sheetData>
    <row r="2" spans="1:18" ht="20.25">
      <c r="A2" s="1"/>
      <c r="B2" s="56"/>
      <c r="C2" s="57"/>
      <c r="D2" s="62" t="s">
        <v>0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/>
      <c r="Q2" s="68"/>
      <c r="R2" s="2"/>
    </row>
    <row r="3" spans="1:18" ht="20.25">
      <c r="A3" s="1"/>
      <c r="B3" s="58"/>
      <c r="C3" s="59"/>
      <c r="D3" s="65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7"/>
      <c r="Q3" s="69"/>
      <c r="R3" s="4"/>
    </row>
    <row r="4" spans="1:18" ht="20.25">
      <c r="A4" s="1"/>
      <c r="B4" s="58"/>
      <c r="C4" s="59"/>
      <c r="D4" s="71" t="s">
        <v>1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3"/>
      <c r="Q4" s="69"/>
      <c r="R4" s="4"/>
    </row>
    <row r="5" spans="1:18" ht="20.25">
      <c r="A5" s="1"/>
      <c r="B5" s="60"/>
      <c r="C5" s="61"/>
      <c r="D5" s="74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6"/>
      <c r="Q5" s="70"/>
      <c r="R5" s="4"/>
    </row>
    <row r="6" spans="1:18" ht="20.25">
      <c r="A6" s="1"/>
      <c r="B6" s="5"/>
      <c r="C6" s="5"/>
      <c r="D6" s="6"/>
      <c r="E6" s="5"/>
      <c r="F6" s="5"/>
      <c r="G6" s="5"/>
      <c r="H6" s="5"/>
      <c r="I6" s="5"/>
      <c r="J6" s="5"/>
      <c r="K6" s="7"/>
      <c r="L6" s="7"/>
      <c r="M6" s="7"/>
      <c r="N6" s="7"/>
      <c r="O6" s="5"/>
      <c r="P6" s="5"/>
      <c r="Q6" s="8">
        <f ca="1">TODAY()</f>
        <v>46233</v>
      </c>
      <c r="R6" s="4"/>
    </row>
    <row r="7" spans="1:18" ht="15.75">
      <c r="B7" s="9" t="s">
        <v>2</v>
      </c>
      <c r="C7" s="10"/>
      <c r="D7" s="10"/>
      <c r="E7" s="10"/>
      <c r="F7" s="10"/>
      <c r="G7" s="11"/>
      <c r="H7" s="10"/>
      <c r="I7" s="10"/>
      <c r="J7" s="10"/>
      <c r="K7" s="12"/>
      <c r="L7" s="12"/>
      <c r="M7" s="12"/>
      <c r="N7" s="12"/>
      <c r="O7" s="10"/>
      <c r="P7" s="10"/>
      <c r="Q7" s="10"/>
      <c r="R7" s="4"/>
    </row>
    <row r="8" spans="1:18" ht="13.5" thickBot="1">
      <c r="L8" s="13" t="s">
        <v>3</v>
      </c>
    </row>
    <row r="9" spans="1:18">
      <c r="B9" s="77" t="s">
        <v>4</v>
      </c>
      <c r="C9" s="79" t="s">
        <v>5</v>
      </c>
      <c r="D9" s="54" t="s">
        <v>6</v>
      </c>
      <c r="E9" s="48" t="s">
        <v>7</v>
      </c>
      <c r="F9" s="48" t="s">
        <v>8</v>
      </c>
      <c r="G9" s="54" t="s">
        <v>9</v>
      </c>
      <c r="H9" s="54" t="s">
        <v>10</v>
      </c>
      <c r="I9" s="54" t="s">
        <v>11</v>
      </c>
      <c r="J9" s="54" t="s">
        <v>12</v>
      </c>
      <c r="K9" s="54" t="s">
        <v>13</v>
      </c>
      <c r="L9" s="54" t="s">
        <v>14</v>
      </c>
      <c r="M9" s="54" t="s">
        <v>15</v>
      </c>
      <c r="N9" s="46" t="s">
        <v>16</v>
      </c>
      <c r="O9" s="48" t="s">
        <v>17</v>
      </c>
      <c r="P9" s="49"/>
      <c r="Q9" s="50" t="s">
        <v>18</v>
      </c>
      <c r="R9" s="52" t="s">
        <v>19</v>
      </c>
    </row>
    <row r="10" spans="1:18" ht="13.5" thickBot="1">
      <c r="B10" s="78"/>
      <c r="C10" s="80"/>
      <c r="D10" s="55"/>
      <c r="E10" s="81"/>
      <c r="F10" s="81"/>
      <c r="G10" s="55"/>
      <c r="H10" s="55" t="s">
        <v>20</v>
      </c>
      <c r="I10" s="55"/>
      <c r="J10" s="55" t="s">
        <v>20</v>
      </c>
      <c r="K10" s="55" t="s">
        <v>21</v>
      </c>
      <c r="L10" s="55" t="s">
        <v>22</v>
      </c>
      <c r="M10" s="55" t="s">
        <v>23</v>
      </c>
      <c r="N10" s="47"/>
      <c r="O10" s="14" t="s">
        <v>24</v>
      </c>
      <c r="P10" s="15" t="s">
        <v>25</v>
      </c>
      <c r="Q10" s="51"/>
      <c r="R10" s="53"/>
    </row>
    <row r="11" spans="1:18">
      <c r="B11" s="16"/>
      <c r="C11" s="17"/>
      <c r="D11" s="18"/>
      <c r="E11" s="18"/>
      <c r="F11" s="19"/>
      <c r="G11" s="20"/>
      <c r="H11" s="21"/>
      <c r="I11" s="21"/>
      <c r="J11" s="22"/>
      <c r="K11" s="23"/>
      <c r="L11" s="23"/>
      <c r="M11" s="23"/>
      <c r="N11" s="24"/>
      <c r="O11" s="19"/>
      <c r="P11" s="19"/>
      <c r="Q11" s="25"/>
      <c r="R11" s="26"/>
    </row>
    <row r="12" spans="1:18">
      <c r="B12" s="16">
        <f t="shared" ref="B12:B22" si="0">ROW()-ROW($B$11)</f>
        <v>1</v>
      </c>
      <c r="C12" s="17" t="s">
        <v>26</v>
      </c>
      <c r="D12" s="18" t="s">
        <v>31</v>
      </c>
      <c r="E12" s="18" t="s">
        <v>32</v>
      </c>
      <c r="F12" s="19" t="s">
        <v>33</v>
      </c>
      <c r="G12" s="20" t="s">
        <v>34</v>
      </c>
      <c r="H12" s="21" t="s">
        <v>35</v>
      </c>
      <c r="I12" s="21" t="s">
        <v>28</v>
      </c>
      <c r="J12" s="22">
        <v>2018</v>
      </c>
      <c r="K12" s="23"/>
      <c r="L12" s="23">
        <v>46149</v>
      </c>
      <c r="M12" s="23">
        <f t="shared" ref="M12:M34" si="1">L12+182</f>
        <v>46331</v>
      </c>
      <c r="N12" s="24">
        <f t="shared" ref="N12:N21" ca="1" si="2">_xlfn.DAYS(M12,TODAY())</f>
        <v>98</v>
      </c>
      <c r="O12" s="19" t="s">
        <v>36</v>
      </c>
      <c r="P12" s="19" t="s">
        <v>37</v>
      </c>
      <c r="Q12" s="25" t="s">
        <v>27</v>
      </c>
      <c r="R12" s="26" t="str">
        <f t="shared" ref="R12:R35" ca="1" si="3">IF(N12&gt;15,"Layak",IF(N12&gt;0,"Segera Lakukan Pemeriksaan","Tidak Layak"))</f>
        <v>Layak</v>
      </c>
    </row>
    <row r="13" spans="1:18">
      <c r="B13" s="16">
        <f t="shared" si="0"/>
        <v>2</v>
      </c>
      <c r="C13" s="17" t="s">
        <v>26</v>
      </c>
      <c r="D13" s="18" t="s">
        <v>31</v>
      </c>
      <c r="E13" s="18" t="s">
        <v>32</v>
      </c>
      <c r="F13" s="19" t="s">
        <v>38</v>
      </c>
      <c r="G13" s="20" t="s">
        <v>39</v>
      </c>
      <c r="H13" s="21" t="s">
        <v>40</v>
      </c>
      <c r="I13" s="21" t="s">
        <v>28</v>
      </c>
      <c r="J13" s="22">
        <v>2011</v>
      </c>
      <c r="K13" s="23"/>
      <c r="L13" s="23">
        <v>46149</v>
      </c>
      <c r="M13" s="23">
        <f t="shared" si="1"/>
        <v>46331</v>
      </c>
      <c r="N13" s="24">
        <f t="shared" ca="1" si="2"/>
        <v>98</v>
      </c>
      <c r="O13" s="19" t="s">
        <v>41</v>
      </c>
      <c r="P13" s="19" t="s">
        <v>37</v>
      </c>
      <c r="Q13" s="25" t="s">
        <v>27</v>
      </c>
      <c r="R13" s="26" t="str">
        <f t="shared" ca="1" si="3"/>
        <v>Layak</v>
      </c>
    </row>
    <row r="14" spans="1:18">
      <c r="B14" s="16">
        <f t="shared" si="0"/>
        <v>3</v>
      </c>
      <c r="C14" s="17" t="s">
        <v>26</v>
      </c>
      <c r="D14" s="18" t="s">
        <v>31</v>
      </c>
      <c r="E14" s="18" t="s">
        <v>32</v>
      </c>
      <c r="F14" s="19" t="s">
        <v>38</v>
      </c>
      <c r="G14" s="20" t="s">
        <v>42</v>
      </c>
      <c r="H14" s="21" t="s">
        <v>43</v>
      </c>
      <c r="I14" s="21" t="s">
        <v>28</v>
      </c>
      <c r="J14" s="22">
        <v>2018</v>
      </c>
      <c r="K14" s="23"/>
      <c r="L14" s="23">
        <v>46149</v>
      </c>
      <c r="M14" s="23">
        <f t="shared" si="1"/>
        <v>46331</v>
      </c>
      <c r="N14" s="24">
        <f t="shared" ca="1" si="2"/>
        <v>98</v>
      </c>
      <c r="O14" s="19" t="s">
        <v>44</v>
      </c>
      <c r="P14" s="19" t="s">
        <v>45</v>
      </c>
      <c r="Q14" s="25" t="s">
        <v>27</v>
      </c>
      <c r="R14" s="26" t="str">
        <f t="shared" ca="1" si="3"/>
        <v>Layak</v>
      </c>
    </row>
    <row r="15" spans="1:18">
      <c r="B15" s="16">
        <f t="shared" si="0"/>
        <v>4</v>
      </c>
      <c r="C15" s="17" t="s">
        <v>26</v>
      </c>
      <c r="D15" s="18" t="s">
        <v>31</v>
      </c>
      <c r="E15" s="18" t="s">
        <v>32</v>
      </c>
      <c r="F15" s="19">
        <v>773</v>
      </c>
      <c r="G15" s="20" t="s">
        <v>46</v>
      </c>
      <c r="H15" s="21" t="s">
        <v>47</v>
      </c>
      <c r="I15" s="21" t="s">
        <v>28</v>
      </c>
      <c r="J15" s="22">
        <v>2020</v>
      </c>
      <c r="K15" s="23"/>
      <c r="L15" s="23">
        <v>46149</v>
      </c>
      <c r="M15" s="23">
        <f t="shared" si="1"/>
        <v>46331</v>
      </c>
      <c r="N15" s="24">
        <f t="shared" ca="1" si="2"/>
        <v>98</v>
      </c>
      <c r="O15" s="19" t="s">
        <v>48</v>
      </c>
      <c r="P15" s="19" t="s">
        <v>49</v>
      </c>
      <c r="Q15" s="25" t="s">
        <v>27</v>
      </c>
      <c r="R15" s="26" t="str">
        <f t="shared" ca="1" si="3"/>
        <v>Layak</v>
      </c>
    </row>
    <row r="16" spans="1:18">
      <c r="B16" s="16">
        <f t="shared" si="0"/>
        <v>5</v>
      </c>
      <c r="C16" s="17" t="s">
        <v>26</v>
      </c>
      <c r="D16" s="18" t="s">
        <v>31</v>
      </c>
      <c r="E16" s="18" t="s">
        <v>32</v>
      </c>
      <c r="F16" s="19" t="s">
        <v>38</v>
      </c>
      <c r="G16" s="20" t="s">
        <v>50</v>
      </c>
      <c r="H16" s="21" t="s">
        <v>51</v>
      </c>
      <c r="I16" s="21" t="s">
        <v>28</v>
      </c>
      <c r="J16" s="22">
        <v>2013</v>
      </c>
      <c r="K16" s="23"/>
      <c r="L16" s="23">
        <v>46149</v>
      </c>
      <c r="M16" s="23">
        <f t="shared" si="1"/>
        <v>46331</v>
      </c>
      <c r="N16" s="24">
        <f t="shared" ca="1" si="2"/>
        <v>98</v>
      </c>
      <c r="O16" s="19" t="s">
        <v>52</v>
      </c>
      <c r="P16" s="19" t="s">
        <v>53</v>
      </c>
      <c r="Q16" s="25" t="s">
        <v>27</v>
      </c>
      <c r="R16" s="26" t="str">
        <f t="shared" ca="1" si="3"/>
        <v>Layak</v>
      </c>
    </row>
    <row r="17" spans="2:18">
      <c r="B17" s="16">
        <f t="shared" si="0"/>
        <v>6</v>
      </c>
      <c r="C17" s="17" t="s">
        <v>26</v>
      </c>
      <c r="D17" s="18" t="s">
        <v>31</v>
      </c>
      <c r="E17" s="18" t="s">
        <v>32</v>
      </c>
      <c r="F17" s="19">
        <v>773</v>
      </c>
      <c r="G17" s="20" t="s">
        <v>54</v>
      </c>
      <c r="H17" s="21" t="s">
        <v>55</v>
      </c>
      <c r="I17" s="21" t="s">
        <v>28</v>
      </c>
      <c r="J17" s="22">
        <v>2011</v>
      </c>
      <c r="K17" s="23"/>
      <c r="L17" s="23">
        <v>46149</v>
      </c>
      <c r="M17" s="23">
        <f t="shared" si="1"/>
        <v>46331</v>
      </c>
      <c r="N17" s="24">
        <f t="shared" ca="1" si="2"/>
        <v>98</v>
      </c>
      <c r="O17" s="19" t="s">
        <v>56</v>
      </c>
      <c r="P17" s="19" t="s">
        <v>57</v>
      </c>
      <c r="Q17" s="25" t="s">
        <v>27</v>
      </c>
      <c r="R17" s="26" t="str">
        <f t="shared" ca="1" si="3"/>
        <v>Layak</v>
      </c>
    </row>
    <row r="18" spans="2:18">
      <c r="B18" s="16">
        <f t="shared" si="0"/>
        <v>7</v>
      </c>
      <c r="C18" s="17" t="s">
        <v>26</v>
      </c>
      <c r="D18" s="18" t="s">
        <v>31</v>
      </c>
      <c r="E18" s="18" t="s">
        <v>32</v>
      </c>
      <c r="F18" s="19">
        <v>773</v>
      </c>
      <c r="G18" s="20" t="s">
        <v>58</v>
      </c>
      <c r="H18" s="21" t="s">
        <v>59</v>
      </c>
      <c r="I18" s="21" t="s">
        <v>28</v>
      </c>
      <c r="J18" s="22">
        <v>2019</v>
      </c>
      <c r="K18" s="23"/>
      <c r="L18" s="23">
        <v>46150</v>
      </c>
      <c r="M18" s="23">
        <f t="shared" si="1"/>
        <v>46332</v>
      </c>
      <c r="N18" s="24">
        <f t="shared" ca="1" si="2"/>
        <v>99</v>
      </c>
      <c r="O18" s="19" t="s">
        <v>60</v>
      </c>
      <c r="P18" s="19" t="s">
        <v>61</v>
      </c>
      <c r="Q18" s="25" t="s">
        <v>27</v>
      </c>
      <c r="R18" s="26" t="str">
        <f t="shared" ca="1" si="3"/>
        <v>Layak</v>
      </c>
    </row>
    <row r="19" spans="2:18">
      <c r="B19" s="16">
        <f t="shared" si="0"/>
        <v>8</v>
      </c>
      <c r="C19" s="17" t="s">
        <v>26</v>
      </c>
      <c r="D19" s="18" t="s">
        <v>31</v>
      </c>
      <c r="E19" s="18" t="s">
        <v>32</v>
      </c>
      <c r="F19" s="19" t="s">
        <v>38</v>
      </c>
      <c r="G19" s="20" t="s">
        <v>62</v>
      </c>
      <c r="H19" s="21" t="s">
        <v>63</v>
      </c>
      <c r="I19" s="21" t="s">
        <v>28</v>
      </c>
      <c r="J19" s="22">
        <v>2020</v>
      </c>
      <c r="K19" s="23"/>
      <c r="L19" s="23">
        <v>46150</v>
      </c>
      <c r="M19" s="23">
        <f t="shared" si="1"/>
        <v>46332</v>
      </c>
      <c r="N19" s="24">
        <f t="shared" ca="1" si="2"/>
        <v>99</v>
      </c>
      <c r="O19" s="19" t="s">
        <v>64</v>
      </c>
      <c r="P19" s="19" t="s">
        <v>65</v>
      </c>
      <c r="Q19" s="25" t="s">
        <v>27</v>
      </c>
      <c r="R19" s="26" t="str">
        <f t="shared" ca="1" si="3"/>
        <v>Layak</v>
      </c>
    </row>
    <row r="20" spans="2:18">
      <c r="B20" s="16">
        <f t="shared" si="0"/>
        <v>9</v>
      </c>
      <c r="C20" s="17" t="s">
        <v>26</v>
      </c>
      <c r="D20" s="18" t="s">
        <v>31</v>
      </c>
      <c r="E20" s="18" t="s">
        <v>32</v>
      </c>
      <c r="F20" s="19" t="s">
        <v>38</v>
      </c>
      <c r="G20" s="20" t="s">
        <v>66</v>
      </c>
      <c r="H20" s="21" t="s">
        <v>67</v>
      </c>
      <c r="I20" s="21" t="s">
        <v>28</v>
      </c>
      <c r="J20" s="22">
        <v>2011</v>
      </c>
      <c r="K20" s="23"/>
      <c r="L20" s="23">
        <v>46150</v>
      </c>
      <c r="M20" s="23">
        <f t="shared" si="1"/>
        <v>46332</v>
      </c>
      <c r="N20" s="24">
        <f t="shared" ca="1" si="2"/>
        <v>99</v>
      </c>
      <c r="O20" s="19" t="s">
        <v>68</v>
      </c>
      <c r="P20" s="19" t="s">
        <v>69</v>
      </c>
      <c r="Q20" s="25" t="s">
        <v>27</v>
      </c>
      <c r="R20" s="26" t="str">
        <f t="shared" ca="1" si="3"/>
        <v>Layak</v>
      </c>
    </row>
    <row r="21" spans="2:18">
      <c r="B21" s="16">
        <f t="shared" si="0"/>
        <v>10</v>
      </c>
      <c r="C21" s="17" t="s">
        <v>26</v>
      </c>
      <c r="D21" s="18" t="s">
        <v>31</v>
      </c>
      <c r="E21" s="18" t="s">
        <v>32</v>
      </c>
      <c r="F21" s="19" t="s">
        <v>38</v>
      </c>
      <c r="G21" s="20" t="s">
        <v>70</v>
      </c>
      <c r="H21" s="21" t="s">
        <v>71</v>
      </c>
      <c r="I21" s="21" t="s">
        <v>28</v>
      </c>
      <c r="J21" s="22">
        <v>2012</v>
      </c>
      <c r="K21" s="23"/>
      <c r="L21" s="23">
        <v>46150</v>
      </c>
      <c r="M21" s="23">
        <f t="shared" si="1"/>
        <v>46332</v>
      </c>
      <c r="N21" s="24">
        <f t="shared" ca="1" si="2"/>
        <v>99</v>
      </c>
      <c r="O21" s="19" t="s">
        <v>72</v>
      </c>
      <c r="P21" s="19" t="s">
        <v>73</v>
      </c>
      <c r="Q21" s="25" t="s">
        <v>27</v>
      </c>
      <c r="R21" s="26" t="str">
        <f t="shared" ca="1" si="3"/>
        <v>Layak</v>
      </c>
    </row>
    <row r="22" spans="2:18">
      <c r="B22" s="16">
        <f t="shared" si="0"/>
        <v>11</v>
      </c>
      <c r="C22" s="17" t="s">
        <v>26</v>
      </c>
      <c r="D22" s="18" t="s">
        <v>31</v>
      </c>
      <c r="E22" s="18" t="s">
        <v>32</v>
      </c>
      <c r="F22" s="19" t="s">
        <v>38</v>
      </c>
      <c r="G22" s="20" t="s">
        <v>74</v>
      </c>
      <c r="H22" s="21" t="s">
        <v>75</v>
      </c>
      <c r="I22" s="21" t="s">
        <v>28</v>
      </c>
      <c r="J22" s="22">
        <v>2021</v>
      </c>
      <c r="K22" s="23"/>
      <c r="L22" s="23">
        <v>46150</v>
      </c>
      <c r="M22" s="23">
        <f t="shared" si="1"/>
        <v>46332</v>
      </c>
      <c r="N22" s="24">
        <f t="shared" ref="N22:N78" ca="1" si="4">_xlfn.DAYS(M22,TODAY())</f>
        <v>99</v>
      </c>
      <c r="O22" s="19" t="s">
        <v>76</v>
      </c>
      <c r="P22" s="19" t="s">
        <v>77</v>
      </c>
      <c r="Q22" s="25" t="s">
        <v>27</v>
      </c>
      <c r="R22" s="26" t="str">
        <f t="shared" ca="1" si="3"/>
        <v>Layak</v>
      </c>
    </row>
    <row r="23" spans="2:18">
      <c r="B23" s="16">
        <f t="shared" ref="B23:B78" si="5">ROW()-ROW($B$11)</f>
        <v>12</v>
      </c>
      <c r="C23" s="17" t="s">
        <v>26</v>
      </c>
      <c r="D23" s="18" t="s">
        <v>31</v>
      </c>
      <c r="E23" s="18" t="s">
        <v>32</v>
      </c>
      <c r="F23" s="19" t="s">
        <v>38</v>
      </c>
      <c r="G23" s="20" t="s">
        <v>78</v>
      </c>
      <c r="H23" s="21" t="s">
        <v>79</v>
      </c>
      <c r="I23" s="21" t="s">
        <v>28</v>
      </c>
      <c r="J23" s="22">
        <v>2021</v>
      </c>
      <c r="K23" s="23"/>
      <c r="L23" s="23">
        <v>46150</v>
      </c>
      <c r="M23" s="23">
        <f t="shared" si="1"/>
        <v>46332</v>
      </c>
      <c r="N23" s="24">
        <f t="shared" ca="1" si="4"/>
        <v>99</v>
      </c>
      <c r="O23" s="19" t="s">
        <v>80</v>
      </c>
      <c r="P23" s="19" t="s">
        <v>81</v>
      </c>
      <c r="Q23" s="25" t="s">
        <v>27</v>
      </c>
      <c r="R23" s="26" t="str">
        <f t="shared" ca="1" si="3"/>
        <v>Layak</v>
      </c>
    </row>
    <row r="24" spans="2:18">
      <c r="B24" s="16">
        <f t="shared" si="5"/>
        <v>13</v>
      </c>
      <c r="C24" s="17" t="s">
        <v>26</v>
      </c>
      <c r="D24" s="18" t="s">
        <v>31</v>
      </c>
      <c r="E24" s="18" t="s">
        <v>32</v>
      </c>
      <c r="F24" s="19" t="s">
        <v>38</v>
      </c>
      <c r="G24" s="20" t="s">
        <v>82</v>
      </c>
      <c r="H24" s="21" t="s">
        <v>83</v>
      </c>
      <c r="I24" s="21" t="s">
        <v>28</v>
      </c>
      <c r="J24" s="22">
        <v>2021</v>
      </c>
      <c r="K24" s="23"/>
      <c r="L24" s="23">
        <v>46150</v>
      </c>
      <c r="M24" s="23">
        <f t="shared" si="1"/>
        <v>46332</v>
      </c>
      <c r="N24" s="24">
        <f t="shared" ca="1" si="4"/>
        <v>99</v>
      </c>
      <c r="O24" s="19" t="s">
        <v>84</v>
      </c>
      <c r="P24" s="19" t="s">
        <v>85</v>
      </c>
      <c r="Q24" s="25" t="s">
        <v>27</v>
      </c>
      <c r="R24" s="26" t="str">
        <f t="shared" ca="1" si="3"/>
        <v>Layak</v>
      </c>
    </row>
    <row r="25" spans="2:18">
      <c r="B25" s="16">
        <f t="shared" si="5"/>
        <v>14</v>
      </c>
      <c r="C25" s="17" t="s">
        <v>26</v>
      </c>
      <c r="D25" s="18" t="s">
        <v>31</v>
      </c>
      <c r="E25" s="18" t="s">
        <v>32</v>
      </c>
      <c r="F25" s="19">
        <v>773</v>
      </c>
      <c r="G25" s="20" t="s">
        <v>86</v>
      </c>
      <c r="H25" s="21" t="s">
        <v>87</v>
      </c>
      <c r="I25" s="21" t="s">
        <v>28</v>
      </c>
      <c r="J25" s="22">
        <v>2021</v>
      </c>
      <c r="K25" s="23"/>
      <c r="L25" s="23">
        <v>46150</v>
      </c>
      <c r="M25" s="23">
        <f t="shared" si="1"/>
        <v>46332</v>
      </c>
      <c r="N25" s="24">
        <f t="shared" ca="1" si="4"/>
        <v>99</v>
      </c>
      <c r="O25" s="19" t="s">
        <v>88</v>
      </c>
      <c r="P25" s="19" t="s">
        <v>89</v>
      </c>
      <c r="Q25" s="25" t="s">
        <v>27</v>
      </c>
      <c r="R25" s="26" t="str">
        <f t="shared" ca="1" si="3"/>
        <v>Layak</v>
      </c>
    </row>
    <row r="26" spans="2:18">
      <c r="B26" s="16">
        <f t="shared" si="5"/>
        <v>15</v>
      </c>
      <c r="C26" s="17" t="s">
        <v>26</v>
      </c>
      <c r="D26" s="18" t="s">
        <v>31</v>
      </c>
      <c r="E26" s="18" t="s">
        <v>32</v>
      </c>
      <c r="F26" s="19">
        <v>773</v>
      </c>
      <c r="G26" s="20" t="s">
        <v>90</v>
      </c>
      <c r="H26" s="21" t="s">
        <v>91</v>
      </c>
      <c r="I26" s="21" t="s">
        <v>28</v>
      </c>
      <c r="J26" s="22">
        <v>2021</v>
      </c>
      <c r="K26" s="23"/>
      <c r="L26" s="23">
        <v>46150</v>
      </c>
      <c r="M26" s="23">
        <f t="shared" si="1"/>
        <v>46332</v>
      </c>
      <c r="N26" s="24">
        <f t="shared" ca="1" si="4"/>
        <v>99</v>
      </c>
      <c r="O26" s="19" t="s">
        <v>92</v>
      </c>
      <c r="P26" s="19" t="s">
        <v>93</v>
      </c>
      <c r="Q26" s="25" t="s">
        <v>27</v>
      </c>
      <c r="R26" s="26" t="str">
        <f t="shared" ca="1" si="3"/>
        <v>Layak</v>
      </c>
    </row>
    <row r="27" spans="2:18">
      <c r="B27" s="16">
        <f t="shared" si="5"/>
        <v>16</v>
      </c>
      <c r="C27" s="17" t="s">
        <v>26</v>
      </c>
      <c r="D27" s="18" t="s">
        <v>31</v>
      </c>
      <c r="E27" s="18" t="s">
        <v>32</v>
      </c>
      <c r="F27" s="19" t="s">
        <v>38</v>
      </c>
      <c r="G27" s="20" t="s">
        <v>94</v>
      </c>
      <c r="H27" s="21" t="s">
        <v>95</v>
      </c>
      <c r="I27" s="21" t="s">
        <v>28</v>
      </c>
      <c r="J27" s="22">
        <v>2021</v>
      </c>
      <c r="K27" s="23"/>
      <c r="L27" s="23">
        <v>46150</v>
      </c>
      <c r="M27" s="23">
        <f t="shared" si="1"/>
        <v>46332</v>
      </c>
      <c r="N27" s="24">
        <f t="shared" ca="1" si="4"/>
        <v>99</v>
      </c>
      <c r="O27" s="19" t="s">
        <v>96</v>
      </c>
      <c r="P27" s="19" t="s">
        <v>97</v>
      </c>
      <c r="Q27" s="25" t="s">
        <v>27</v>
      </c>
      <c r="R27" s="26" t="str">
        <f t="shared" ca="1" si="3"/>
        <v>Layak</v>
      </c>
    </row>
    <row r="28" spans="2:18">
      <c r="B28" s="16">
        <f t="shared" si="5"/>
        <v>17</v>
      </c>
      <c r="C28" s="17" t="s">
        <v>26</v>
      </c>
      <c r="D28" s="18" t="s">
        <v>31</v>
      </c>
      <c r="E28" s="18" t="s">
        <v>32</v>
      </c>
      <c r="F28" s="19">
        <v>773</v>
      </c>
      <c r="G28" s="20" t="s">
        <v>98</v>
      </c>
      <c r="H28" s="21" t="s">
        <v>99</v>
      </c>
      <c r="I28" s="21" t="s">
        <v>28</v>
      </c>
      <c r="J28" s="22">
        <v>2022</v>
      </c>
      <c r="K28" s="23"/>
      <c r="L28" s="23">
        <v>46150</v>
      </c>
      <c r="M28" s="23">
        <f t="shared" si="1"/>
        <v>46332</v>
      </c>
      <c r="N28" s="24">
        <f t="shared" ca="1" si="4"/>
        <v>99</v>
      </c>
      <c r="O28" s="19" t="s">
        <v>100</v>
      </c>
      <c r="P28" s="19" t="s">
        <v>101</v>
      </c>
      <c r="Q28" s="25" t="s">
        <v>27</v>
      </c>
      <c r="R28" s="26" t="str">
        <f t="shared" ca="1" si="3"/>
        <v>Layak</v>
      </c>
    </row>
    <row r="29" spans="2:18">
      <c r="B29" s="16">
        <f t="shared" si="5"/>
        <v>18</v>
      </c>
      <c r="C29" s="17" t="s">
        <v>26</v>
      </c>
      <c r="D29" s="18" t="s">
        <v>31</v>
      </c>
      <c r="E29" s="18" t="s">
        <v>32</v>
      </c>
      <c r="F29" s="19" t="s">
        <v>38</v>
      </c>
      <c r="G29" s="20" t="s">
        <v>102</v>
      </c>
      <c r="H29" s="21" t="s">
        <v>103</v>
      </c>
      <c r="I29" s="21" t="s">
        <v>28</v>
      </c>
      <c r="J29" s="22">
        <v>2018</v>
      </c>
      <c r="K29" s="23"/>
      <c r="L29" s="23">
        <v>46150</v>
      </c>
      <c r="M29" s="23">
        <f t="shared" si="1"/>
        <v>46332</v>
      </c>
      <c r="N29" s="24">
        <f t="shared" ca="1" si="4"/>
        <v>99</v>
      </c>
      <c r="O29" s="19" t="s">
        <v>104</v>
      </c>
      <c r="P29" s="19" t="s">
        <v>105</v>
      </c>
      <c r="Q29" s="25" t="s">
        <v>27</v>
      </c>
      <c r="R29" s="26" t="str">
        <f t="shared" ca="1" si="3"/>
        <v>Layak</v>
      </c>
    </row>
    <row r="30" spans="2:18">
      <c r="B30" s="16">
        <f t="shared" si="5"/>
        <v>19</v>
      </c>
      <c r="C30" s="17" t="s">
        <v>26</v>
      </c>
      <c r="D30" s="18" t="s">
        <v>31</v>
      </c>
      <c r="E30" s="18" t="s">
        <v>32</v>
      </c>
      <c r="F30" s="19">
        <v>777</v>
      </c>
      <c r="G30" s="20" t="s">
        <v>106</v>
      </c>
      <c r="H30" s="21" t="s">
        <v>107</v>
      </c>
      <c r="I30" s="21" t="s">
        <v>28</v>
      </c>
      <c r="J30" s="22">
        <v>2023</v>
      </c>
      <c r="K30" s="23"/>
      <c r="L30" s="23">
        <v>46150</v>
      </c>
      <c r="M30" s="23">
        <f t="shared" si="1"/>
        <v>46332</v>
      </c>
      <c r="N30" s="24">
        <f t="shared" ca="1" si="4"/>
        <v>99</v>
      </c>
      <c r="O30" s="19" t="s">
        <v>108</v>
      </c>
      <c r="P30" s="19" t="s">
        <v>109</v>
      </c>
      <c r="Q30" s="25" t="s">
        <v>27</v>
      </c>
      <c r="R30" s="26" t="str">
        <f t="shared" ca="1" si="3"/>
        <v>Layak</v>
      </c>
    </row>
    <row r="31" spans="2:18">
      <c r="B31" s="16">
        <f t="shared" si="5"/>
        <v>20</v>
      </c>
      <c r="C31" s="17" t="s">
        <v>26</v>
      </c>
      <c r="D31" s="18" t="s">
        <v>31</v>
      </c>
      <c r="E31" s="18" t="s">
        <v>32</v>
      </c>
      <c r="F31" s="19">
        <v>777</v>
      </c>
      <c r="G31" s="20" t="s">
        <v>110</v>
      </c>
      <c r="H31" s="21" t="s">
        <v>111</v>
      </c>
      <c r="I31" s="21" t="s">
        <v>28</v>
      </c>
      <c r="J31" s="22">
        <v>2023</v>
      </c>
      <c r="K31" s="23"/>
      <c r="L31" s="23">
        <v>46150</v>
      </c>
      <c r="M31" s="23">
        <f t="shared" si="1"/>
        <v>46332</v>
      </c>
      <c r="N31" s="24">
        <f t="shared" ca="1" si="4"/>
        <v>99</v>
      </c>
      <c r="O31" s="19" t="s">
        <v>112</v>
      </c>
      <c r="P31" s="19" t="s">
        <v>113</v>
      </c>
      <c r="Q31" s="25" t="s">
        <v>27</v>
      </c>
      <c r="R31" s="26" t="str">
        <f t="shared" ca="1" si="3"/>
        <v>Layak</v>
      </c>
    </row>
    <row r="32" spans="2:18">
      <c r="B32" s="16">
        <f t="shared" si="5"/>
        <v>21</v>
      </c>
      <c r="C32" s="17" t="s">
        <v>26</v>
      </c>
      <c r="D32" s="18" t="s">
        <v>31</v>
      </c>
      <c r="E32" s="18" t="s">
        <v>32</v>
      </c>
      <c r="F32" s="19">
        <v>777</v>
      </c>
      <c r="G32" s="20" t="s">
        <v>114</v>
      </c>
      <c r="H32" s="21" t="s">
        <v>115</v>
      </c>
      <c r="I32" s="21" t="s">
        <v>28</v>
      </c>
      <c r="J32" s="22">
        <v>2023</v>
      </c>
      <c r="K32" s="23"/>
      <c r="L32" s="23">
        <v>46153</v>
      </c>
      <c r="M32" s="23">
        <f t="shared" si="1"/>
        <v>46335</v>
      </c>
      <c r="N32" s="24">
        <f t="shared" ca="1" si="4"/>
        <v>102</v>
      </c>
      <c r="O32" s="19" t="s">
        <v>116</v>
      </c>
      <c r="P32" s="19" t="s">
        <v>117</v>
      </c>
      <c r="Q32" s="25" t="s">
        <v>27</v>
      </c>
      <c r="R32" s="26" t="str">
        <f t="shared" ca="1" si="3"/>
        <v>Layak</v>
      </c>
    </row>
    <row r="33" spans="2:18">
      <c r="B33" s="16">
        <f t="shared" si="5"/>
        <v>22</v>
      </c>
      <c r="C33" s="17" t="s">
        <v>26</v>
      </c>
      <c r="D33" s="18" t="s">
        <v>31</v>
      </c>
      <c r="E33" s="18" t="s">
        <v>32</v>
      </c>
      <c r="F33" s="19">
        <v>777</v>
      </c>
      <c r="G33" s="20" t="s">
        <v>118</v>
      </c>
      <c r="H33" s="21" t="s">
        <v>119</v>
      </c>
      <c r="I33" s="21" t="s">
        <v>28</v>
      </c>
      <c r="J33" s="22">
        <v>2023</v>
      </c>
      <c r="K33" s="23"/>
      <c r="L33" s="23">
        <v>46153</v>
      </c>
      <c r="M33" s="23">
        <f t="shared" si="1"/>
        <v>46335</v>
      </c>
      <c r="N33" s="24">
        <f t="shared" ca="1" si="4"/>
        <v>102</v>
      </c>
      <c r="O33" s="19" t="s">
        <v>120</v>
      </c>
      <c r="P33" s="19" t="s">
        <v>121</v>
      </c>
      <c r="Q33" s="25" t="s">
        <v>27</v>
      </c>
      <c r="R33" s="26" t="str">
        <f t="shared" ca="1" si="3"/>
        <v>Layak</v>
      </c>
    </row>
    <row r="34" spans="2:18">
      <c r="B34" s="16">
        <f t="shared" si="5"/>
        <v>23</v>
      </c>
      <c r="C34" s="17" t="s">
        <v>26</v>
      </c>
      <c r="D34" s="18" t="s">
        <v>31</v>
      </c>
      <c r="E34" s="18" t="s">
        <v>32</v>
      </c>
      <c r="F34" s="19">
        <v>777</v>
      </c>
      <c r="G34" s="20" t="s">
        <v>122</v>
      </c>
      <c r="H34" s="21" t="s">
        <v>123</v>
      </c>
      <c r="I34" s="21" t="s">
        <v>28</v>
      </c>
      <c r="J34" s="22">
        <v>2023</v>
      </c>
      <c r="K34" s="23"/>
      <c r="L34" s="23">
        <v>46153</v>
      </c>
      <c r="M34" s="23">
        <f t="shared" si="1"/>
        <v>46335</v>
      </c>
      <c r="N34" s="24">
        <f t="shared" ca="1" si="4"/>
        <v>102</v>
      </c>
      <c r="O34" s="19" t="s">
        <v>124</v>
      </c>
      <c r="P34" s="19" t="s">
        <v>125</v>
      </c>
      <c r="Q34" s="25" t="s">
        <v>27</v>
      </c>
      <c r="R34" s="26" t="str">
        <f t="shared" ca="1" si="3"/>
        <v>Layak</v>
      </c>
    </row>
    <row r="35" spans="2:18">
      <c r="B35" s="16">
        <f t="shared" si="5"/>
        <v>24</v>
      </c>
      <c r="C35" s="17" t="s">
        <v>26</v>
      </c>
      <c r="D35" s="18" t="s">
        <v>31</v>
      </c>
      <c r="E35" s="18" t="s">
        <v>32</v>
      </c>
      <c r="F35" s="19">
        <v>777</v>
      </c>
      <c r="G35" s="20" t="s">
        <v>126</v>
      </c>
      <c r="H35" s="21" t="s">
        <v>127</v>
      </c>
      <c r="I35" s="21" t="s">
        <v>28</v>
      </c>
      <c r="J35" s="22">
        <v>2023</v>
      </c>
      <c r="K35" s="23"/>
      <c r="L35" s="23">
        <v>46153</v>
      </c>
      <c r="M35" s="23">
        <f t="shared" ref="M35" si="6">L35+122</f>
        <v>46275</v>
      </c>
      <c r="N35" s="24">
        <f t="shared" ca="1" si="4"/>
        <v>42</v>
      </c>
      <c r="O35" s="19" t="s">
        <v>128</v>
      </c>
      <c r="P35" s="19" t="s">
        <v>129</v>
      </c>
      <c r="Q35" s="25" t="s">
        <v>27</v>
      </c>
      <c r="R35" s="26" t="str">
        <f t="shared" ca="1" si="3"/>
        <v>Layak</v>
      </c>
    </row>
    <row r="36" spans="2:18">
      <c r="B36" s="16">
        <f t="shared" si="5"/>
        <v>25</v>
      </c>
      <c r="C36" s="17" t="s">
        <v>26</v>
      </c>
      <c r="D36" s="18" t="s">
        <v>31</v>
      </c>
      <c r="E36" s="18" t="s">
        <v>32</v>
      </c>
      <c r="F36" s="19">
        <v>777</v>
      </c>
      <c r="G36" s="20" t="s">
        <v>130</v>
      </c>
      <c r="H36" s="21" t="s">
        <v>131</v>
      </c>
      <c r="I36" s="21" t="s">
        <v>28</v>
      </c>
      <c r="J36" s="22">
        <v>2023</v>
      </c>
      <c r="K36" s="23"/>
      <c r="L36" s="23">
        <v>46153</v>
      </c>
      <c r="M36" s="23">
        <f t="shared" ref="M36:M78" si="7">L36+182</f>
        <v>46335</v>
      </c>
      <c r="N36" s="24">
        <f t="shared" ca="1" si="4"/>
        <v>102</v>
      </c>
      <c r="O36" s="19" t="s">
        <v>132</v>
      </c>
      <c r="P36" s="19" t="s">
        <v>133</v>
      </c>
      <c r="Q36" s="25" t="s">
        <v>27</v>
      </c>
      <c r="R36" s="26" t="str">
        <f t="shared" ref="R36:R90" ca="1" si="8">IF(N36&gt;15,"Layak",IF(N36&gt;0,"Segera Lakukan Pemeriksaan","Tidak Layak"))</f>
        <v>Layak</v>
      </c>
    </row>
    <row r="37" spans="2:18" s="31" customFormat="1">
      <c r="B37" s="16">
        <f t="shared" si="5"/>
        <v>26</v>
      </c>
      <c r="C37" s="28" t="s">
        <v>26</v>
      </c>
      <c r="D37" s="18" t="s">
        <v>31</v>
      </c>
      <c r="E37" s="18" t="s">
        <v>32</v>
      </c>
      <c r="F37" s="19">
        <v>777</v>
      </c>
      <c r="G37" s="20" t="s">
        <v>134</v>
      </c>
      <c r="H37" s="27" t="s">
        <v>135</v>
      </c>
      <c r="I37" s="27" t="s">
        <v>28</v>
      </c>
      <c r="J37" s="29">
        <v>2023</v>
      </c>
      <c r="K37" s="23"/>
      <c r="L37" s="23">
        <v>46153</v>
      </c>
      <c r="M37" s="23">
        <f t="shared" si="7"/>
        <v>46335</v>
      </c>
      <c r="N37" s="24">
        <f t="shared" ca="1" si="4"/>
        <v>102</v>
      </c>
      <c r="O37" s="19" t="s">
        <v>136</v>
      </c>
      <c r="P37" s="19" t="s">
        <v>137</v>
      </c>
      <c r="Q37" s="18" t="s">
        <v>27</v>
      </c>
      <c r="R37" s="30" t="str">
        <f t="shared" ca="1" si="8"/>
        <v>Layak</v>
      </c>
    </row>
    <row r="38" spans="2:18" s="31" customFormat="1">
      <c r="B38" s="16">
        <f t="shared" si="5"/>
        <v>27</v>
      </c>
      <c r="C38" s="28" t="s">
        <v>26</v>
      </c>
      <c r="D38" s="18" t="s">
        <v>31</v>
      </c>
      <c r="E38" s="18" t="s">
        <v>32</v>
      </c>
      <c r="F38" s="19">
        <v>777</v>
      </c>
      <c r="G38" s="20" t="s">
        <v>138</v>
      </c>
      <c r="H38" s="27" t="s">
        <v>139</v>
      </c>
      <c r="I38" s="27" t="s">
        <v>28</v>
      </c>
      <c r="J38" s="29">
        <v>2023</v>
      </c>
      <c r="K38" s="23"/>
      <c r="L38" s="23">
        <v>46153</v>
      </c>
      <c r="M38" s="23">
        <f t="shared" si="7"/>
        <v>46335</v>
      </c>
      <c r="N38" s="24">
        <f t="shared" ca="1" si="4"/>
        <v>102</v>
      </c>
      <c r="O38" s="19" t="s">
        <v>140</v>
      </c>
      <c r="P38" s="19" t="s">
        <v>141</v>
      </c>
      <c r="Q38" s="18" t="s">
        <v>27</v>
      </c>
      <c r="R38" s="30" t="str">
        <f t="shared" ca="1" si="8"/>
        <v>Layak</v>
      </c>
    </row>
    <row r="39" spans="2:18" s="31" customFormat="1">
      <c r="B39" s="16">
        <f t="shared" si="5"/>
        <v>28</v>
      </c>
      <c r="C39" s="28" t="s">
        <v>26</v>
      </c>
      <c r="D39" s="18" t="s">
        <v>31</v>
      </c>
      <c r="E39" s="18" t="s">
        <v>32</v>
      </c>
      <c r="F39" s="19">
        <v>777</v>
      </c>
      <c r="G39" s="20" t="s">
        <v>142</v>
      </c>
      <c r="H39" s="27" t="s">
        <v>143</v>
      </c>
      <c r="I39" s="27" t="s">
        <v>28</v>
      </c>
      <c r="J39" s="29">
        <v>2023</v>
      </c>
      <c r="K39" s="23"/>
      <c r="L39" s="23">
        <v>46153</v>
      </c>
      <c r="M39" s="23">
        <f t="shared" si="7"/>
        <v>46335</v>
      </c>
      <c r="N39" s="24">
        <f t="shared" ca="1" si="4"/>
        <v>102</v>
      </c>
      <c r="O39" s="19" t="s">
        <v>144</v>
      </c>
      <c r="P39" s="19" t="s">
        <v>145</v>
      </c>
      <c r="Q39" s="18" t="s">
        <v>27</v>
      </c>
      <c r="R39" s="30" t="str">
        <f t="shared" ca="1" si="8"/>
        <v>Layak</v>
      </c>
    </row>
    <row r="40" spans="2:18" s="31" customFormat="1">
      <c r="B40" s="16">
        <f t="shared" si="5"/>
        <v>29</v>
      </c>
      <c r="C40" s="28" t="s">
        <v>26</v>
      </c>
      <c r="D40" s="18" t="s">
        <v>31</v>
      </c>
      <c r="E40" s="18" t="s">
        <v>32</v>
      </c>
      <c r="F40" s="19">
        <v>777</v>
      </c>
      <c r="G40" s="20" t="s">
        <v>146</v>
      </c>
      <c r="H40" s="27" t="s">
        <v>147</v>
      </c>
      <c r="I40" s="27" t="s">
        <v>28</v>
      </c>
      <c r="J40" s="29">
        <v>2023</v>
      </c>
      <c r="K40" s="23"/>
      <c r="L40" s="23">
        <v>46153</v>
      </c>
      <c r="M40" s="23">
        <f t="shared" si="7"/>
        <v>46335</v>
      </c>
      <c r="N40" s="24">
        <f t="shared" ca="1" si="4"/>
        <v>102</v>
      </c>
      <c r="O40" s="19" t="s">
        <v>148</v>
      </c>
      <c r="P40" s="19" t="s">
        <v>149</v>
      </c>
      <c r="Q40" s="18" t="s">
        <v>27</v>
      </c>
      <c r="R40" s="30" t="str">
        <f t="shared" ca="1" si="8"/>
        <v>Layak</v>
      </c>
    </row>
    <row r="41" spans="2:18" s="31" customFormat="1">
      <c r="B41" s="16">
        <f t="shared" si="5"/>
        <v>30</v>
      </c>
      <c r="C41" s="28" t="s">
        <v>26</v>
      </c>
      <c r="D41" s="18" t="s">
        <v>31</v>
      </c>
      <c r="E41" s="18" t="s">
        <v>32</v>
      </c>
      <c r="F41" s="19">
        <v>777</v>
      </c>
      <c r="G41" s="20" t="s">
        <v>150</v>
      </c>
      <c r="H41" s="27" t="s">
        <v>151</v>
      </c>
      <c r="I41" s="27" t="s">
        <v>28</v>
      </c>
      <c r="J41" s="29">
        <v>2023</v>
      </c>
      <c r="K41" s="23"/>
      <c r="L41" s="23">
        <v>46153</v>
      </c>
      <c r="M41" s="23">
        <f t="shared" si="7"/>
        <v>46335</v>
      </c>
      <c r="N41" s="24">
        <f t="shared" ca="1" si="4"/>
        <v>102</v>
      </c>
      <c r="O41" s="19" t="s">
        <v>152</v>
      </c>
      <c r="P41" s="19" t="s">
        <v>153</v>
      </c>
      <c r="Q41" s="18" t="s">
        <v>27</v>
      </c>
      <c r="R41" s="30" t="str">
        <f t="shared" ca="1" si="8"/>
        <v>Layak</v>
      </c>
    </row>
    <row r="42" spans="2:18" s="31" customFormat="1">
      <c r="B42" s="16">
        <f t="shared" si="5"/>
        <v>31</v>
      </c>
      <c r="C42" s="28" t="s">
        <v>26</v>
      </c>
      <c r="D42" s="18" t="s">
        <v>31</v>
      </c>
      <c r="E42" s="18" t="s">
        <v>32</v>
      </c>
      <c r="F42" s="19">
        <v>777</v>
      </c>
      <c r="G42" s="20" t="s">
        <v>154</v>
      </c>
      <c r="H42" s="27" t="s">
        <v>155</v>
      </c>
      <c r="I42" s="27" t="s">
        <v>28</v>
      </c>
      <c r="J42" s="29">
        <v>2023</v>
      </c>
      <c r="K42" s="23"/>
      <c r="L42" s="23">
        <v>46153</v>
      </c>
      <c r="M42" s="23">
        <f t="shared" si="7"/>
        <v>46335</v>
      </c>
      <c r="N42" s="24">
        <f t="shared" ca="1" si="4"/>
        <v>102</v>
      </c>
      <c r="O42" s="19" t="s">
        <v>156</v>
      </c>
      <c r="P42" s="19" t="s">
        <v>157</v>
      </c>
      <c r="Q42" s="18" t="s">
        <v>27</v>
      </c>
      <c r="R42" s="30" t="str">
        <f t="shared" ca="1" si="8"/>
        <v>Layak</v>
      </c>
    </row>
    <row r="43" spans="2:18" s="31" customFormat="1">
      <c r="B43" s="16">
        <f t="shared" si="5"/>
        <v>32</v>
      </c>
      <c r="C43" s="28" t="s">
        <v>26</v>
      </c>
      <c r="D43" s="18" t="s">
        <v>31</v>
      </c>
      <c r="E43" s="18" t="s">
        <v>32</v>
      </c>
      <c r="F43" s="19">
        <v>777</v>
      </c>
      <c r="G43" s="20" t="s">
        <v>158</v>
      </c>
      <c r="H43" s="27" t="s">
        <v>159</v>
      </c>
      <c r="I43" s="27" t="s">
        <v>28</v>
      </c>
      <c r="J43" s="29">
        <v>2023</v>
      </c>
      <c r="K43" s="23"/>
      <c r="L43" s="23">
        <v>46153</v>
      </c>
      <c r="M43" s="23">
        <f t="shared" si="7"/>
        <v>46335</v>
      </c>
      <c r="N43" s="24">
        <f t="shared" ca="1" si="4"/>
        <v>102</v>
      </c>
      <c r="O43" s="19" t="s">
        <v>160</v>
      </c>
      <c r="P43" s="19" t="s">
        <v>161</v>
      </c>
      <c r="Q43" s="18" t="s">
        <v>27</v>
      </c>
      <c r="R43" s="30" t="str">
        <f t="shared" ca="1" si="8"/>
        <v>Layak</v>
      </c>
    </row>
    <row r="44" spans="2:18" s="31" customFormat="1">
      <c r="B44" s="16">
        <f t="shared" si="5"/>
        <v>33</v>
      </c>
      <c r="C44" s="28" t="s">
        <v>26</v>
      </c>
      <c r="D44" s="18" t="s">
        <v>31</v>
      </c>
      <c r="E44" s="18" t="s">
        <v>32</v>
      </c>
      <c r="F44" s="19">
        <v>777</v>
      </c>
      <c r="G44" s="20" t="s">
        <v>162</v>
      </c>
      <c r="H44" s="27" t="s">
        <v>163</v>
      </c>
      <c r="I44" s="27" t="s">
        <v>28</v>
      </c>
      <c r="J44" s="29">
        <v>2023</v>
      </c>
      <c r="K44" s="23"/>
      <c r="L44" s="23">
        <v>46153</v>
      </c>
      <c r="M44" s="23">
        <f t="shared" si="7"/>
        <v>46335</v>
      </c>
      <c r="N44" s="24">
        <f t="shared" ca="1" si="4"/>
        <v>102</v>
      </c>
      <c r="O44" s="19" t="s">
        <v>164</v>
      </c>
      <c r="P44" s="19" t="s">
        <v>165</v>
      </c>
      <c r="Q44" s="18" t="s">
        <v>27</v>
      </c>
      <c r="R44" s="30" t="str">
        <f t="shared" ca="1" si="8"/>
        <v>Layak</v>
      </c>
    </row>
    <row r="45" spans="2:18" s="31" customFormat="1">
      <c r="B45" s="16">
        <f t="shared" si="5"/>
        <v>34</v>
      </c>
      <c r="C45" s="28" t="s">
        <v>26</v>
      </c>
      <c r="D45" s="18" t="s">
        <v>31</v>
      </c>
      <c r="E45" s="18" t="s">
        <v>32</v>
      </c>
      <c r="F45" s="19">
        <v>777</v>
      </c>
      <c r="G45" s="20" t="s">
        <v>166</v>
      </c>
      <c r="H45" s="27" t="s">
        <v>167</v>
      </c>
      <c r="I45" s="27" t="s">
        <v>28</v>
      </c>
      <c r="J45" s="29">
        <v>2023</v>
      </c>
      <c r="K45" s="23"/>
      <c r="L45" s="23">
        <v>46150</v>
      </c>
      <c r="M45" s="23">
        <f t="shared" si="7"/>
        <v>46332</v>
      </c>
      <c r="N45" s="24">
        <f t="shared" ca="1" si="4"/>
        <v>99</v>
      </c>
      <c r="O45" s="19" t="s">
        <v>168</v>
      </c>
      <c r="P45" s="19" t="s">
        <v>169</v>
      </c>
      <c r="Q45" s="18" t="s">
        <v>27</v>
      </c>
      <c r="R45" s="30" t="str">
        <f t="shared" ca="1" si="8"/>
        <v>Layak</v>
      </c>
    </row>
    <row r="46" spans="2:18" s="31" customFormat="1">
      <c r="B46" s="16">
        <f t="shared" si="5"/>
        <v>35</v>
      </c>
      <c r="C46" s="28" t="s">
        <v>26</v>
      </c>
      <c r="D46" s="18" t="s">
        <v>31</v>
      </c>
      <c r="E46" s="18" t="s">
        <v>32</v>
      </c>
      <c r="F46" s="19">
        <v>777</v>
      </c>
      <c r="G46" s="20" t="s">
        <v>170</v>
      </c>
      <c r="H46" s="27" t="s">
        <v>171</v>
      </c>
      <c r="I46" s="27" t="s">
        <v>28</v>
      </c>
      <c r="J46" s="29">
        <v>2023</v>
      </c>
      <c r="K46" s="23"/>
      <c r="L46" s="23">
        <v>46150</v>
      </c>
      <c r="M46" s="23">
        <f t="shared" si="7"/>
        <v>46332</v>
      </c>
      <c r="N46" s="24">
        <f t="shared" ca="1" si="4"/>
        <v>99</v>
      </c>
      <c r="O46" s="19" t="s">
        <v>172</v>
      </c>
      <c r="P46" s="19" t="s">
        <v>173</v>
      </c>
      <c r="Q46" s="18" t="s">
        <v>27</v>
      </c>
      <c r="R46" s="30" t="str">
        <f t="shared" ca="1" si="8"/>
        <v>Layak</v>
      </c>
    </row>
    <row r="47" spans="2:18" s="31" customFormat="1">
      <c r="B47" s="16">
        <f t="shared" si="5"/>
        <v>36</v>
      </c>
      <c r="C47" s="28" t="s">
        <v>26</v>
      </c>
      <c r="D47" s="18" t="s">
        <v>31</v>
      </c>
      <c r="E47" s="18" t="s">
        <v>32</v>
      </c>
      <c r="F47" s="19">
        <v>777</v>
      </c>
      <c r="G47" s="20" t="s">
        <v>174</v>
      </c>
      <c r="H47" s="27" t="s">
        <v>175</v>
      </c>
      <c r="I47" s="27" t="s">
        <v>28</v>
      </c>
      <c r="J47" s="29">
        <v>2023</v>
      </c>
      <c r="K47" s="23"/>
      <c r="L47" s="23">
        <v>46150</v>
      </c>
      <c r="M47" s="23">
        <f t="shared" si="7"/>
        <v>46332</v>
      </c>
      <c r="N47" s="24">
        <f t="shared" ca="1" si="4"/>
        <v>99</v>
      </c>
      <c r="O47" s="19" t="s">
        <v>176</v>
      </c>
      <c r="P47" s="19" t="s">
        <v>177</v>
      </c>
      <c r="Q47" s="18" t="s">
        <v>27</v>
      </c>
      <c r="R47" s="30" t="str">
        <f t="shared" ca="1" si="8"/>
        <v>Layak</v>
      </c>
    </row>
    <row r="48" spans="2:18" s="31" customFormat="1">
      <c r="B48" s="16">
        <f t="shared" si="5"/>
        <v>37</v>
      </c>
      <c r="C48" s="28" t="s">
        <v>26</v>
      </c>
      <c r="D48" s="18" t="s">
        <v>31</v>
      </c>
      <c r="E48" s="18" t="s">
        <v>32</v>
      </c>
      <c r="F48" s="19">
        <v>777</v>
      </c>
      <c r="G48" s="20" t="s">
        <v>178</v>
      </c>
      <c r="H48" s="27" t="s">
        <v>179</v>
      </c>
      <c r="I48" s="27" t="s">
        <v>28</v>
      </c>
      <c r="J48" s="29">
        <v>2023</v>
      </c>
      <c r="K48" s="23"/>
      <c r="L48" s="23">
        <v>46150</v>
      </c>
      <c r="M48" s="23">
        <f t="shared" si="7"/>
        <v>46332</v>
      </c>
      <c r="N48" s="24">
        <f t="shared" ca="1" si="4"/>
        <v>99</v>
      </c>
      <c r="O48" s="19" t="s">
        <v>180</v>
      </c>
      <c r="P48" s="19" t="s">
        <v>181</v>
      </c>
      <c r="Q48" s="18" t="s">
        <v>27</v>
      </c>
      <c r="R48" s="30" t="str">
        <f t="shared" ca="1" si="8"/>
        <v>Layak</v>
      </c>
    </row>
    <row r="49" spans="2:18" s="31" customFormat="1">
      <c r="B49" s="16">
        <f t="shared" si="5"/>
        <v>38</v>
      </c>
      <c r="C49" s="28" t="s">
        <v>26</v>
      </c>
      <c r="D49" s="18" t="s">
        <v>31</v>
      </c>
      <c r="E49" s="18" t="s">
        <v>32</v>
      </c>
      <c r="F49" s="19">
        <v>777</v>
      </c>
      <c r="G49" s="20" t="s">
        <v>182</v>
      </c>
      <c r="H49" s="27" t="s">
        <v>183</v>
      </c>
      <c r="I49" s="27" t="s">
        <v>28</v>
      </c>
      <c r="J49" s="29">
        <v>2023</v>
      </c>
      <c r="K49" s="23"/>
      <c r="L49" s="23">
        <v>46150</v>
      </c>
      <c r="M49" s="23">
        <f t="shared" si="7"/>
        <v>46332</v>
      </c>
      <c r="N49" s="24">
        <f t="shared" ca="1" si="4"/>
        <v>99</v>
      </c>
      <c r="O49" s="19" t="s">
        <v>184</v>
      </c>
      <c r="P49" s="19" t="s">
        <v>185</v>
      </c>
      <c r="Q49" s="18" t="s">
        <v>27</v>
      </c>
      <c r="R49" s="30" t="str">
        <f t="shared" ca="1" si="8"/>
        <v>Layak</v>
      </c>
    </row>
    <row r="50" spans="2:18" s="31" customFormat="1">
      <c r="B50" s="16">
        <f t="shared" si="5"/>
        <v>39</v>
      </c>
      <c r="C50" s="28" t="s">
        <v>26</v>
      </c>
      <c r="D50" s="18" t="s">
        <v>31</v>
      </c>
      <c r="E50" s="18" t="s">
        <v>32</v>
      </c>
      <c r="F50" s="19">
        <v>777</v>
      </c>
      <c r="G50" s="20" t="s">
        <v>186</v>
      </c>
      <c r="H50" s="27" t="s">
        <v>187</v>
      </c>
      <c r="I50" s="27" t="s">
        <v>28</v>
      </c>
      <c r="J50" s="29">
        <v>2023</v>
      </c>
      <c r="K50" s="23"/>
      <c r="L50" s="23">
        <v>46150</v>
      </c>
      <c r="M50" s="23">
        <f t="shared" si="7"/>
        <v>46332</v>
      </c>
      <c r="N50" s="24">
        <f t="shared" ca="1" si="4"/>
        <v>99</v>
      </c>
      <c r="O50" s="19" t="s">
        <v>188</v>
      </c>
      <c r="P50" s="19" t="s">
        <v>189</v>
      </c>
      <c r="Q50" s="18" t="s">
        <v>27</v>
      </c>
      <c r="R50" s="30" t="str">
        <f t="shared" ca="1" si="8"/>
        <v>Layak</v>
      </c>
    </row>
    <row r="51" spans="2:18" s="31" customFormat="1">
      <c r="B51" s="16">
        <f t="shared" si="5"/>
        <v>40</v>
      </c>
      <c r="C51" s="28" t="s">
        <v>26</v>
      </c>
      <c r="D51" s="18" t="s">
        <v>31</v>
      </c>
      <c r="E51" s="18" t="s">
        <v>32</v>
      </c>
      <c r="F51" s="19">
        <v>777</v>
      </c>
      <c r="G51" s="20" t="s">
        <v>190</v>
      </c>
      <c r="H51" s="27" t="s">
        <v>191</v>
      </c>
      <c r="I51" s="27" t="s">
        <v>28</v>
      </c>
      <c r="J51" s="29">
        <v>2023</v>
      </c>
      <c r="K51" s="23"/>
      <c r="L51" s="23">
        <v>46150</v>
      </c>
      <c r="M51" s="23">
        <f t="shared" si="7"/>
        <v>46332</v>
      </c>
      <c r="N51" s="24">
        <f t="shared" ca="1" si="4"/>
        <v>99</v>
      </c>
      <c r="O51" s="19" t="s">
        <v>192</v>
      </c>
      <c r="P51" s="19" t="s">
        <v>193</v>
      </c>
      <c r="Q51" s="18" t="s">
        <v>27</v>
      </c>
      <c r="R51" s="30" t="str">
        <f t="shared" ca="1" si="8"/>
        <v>Layak</v>
      </c>
    </row>
    <row r="52" spans="2:18" s="31" customFormat="1">
      <c r="B52" s="16">
        <f t="shared" si="5"/>
        <v>41</v>
      </c>
      <c r="C52" s="28" t="s">
        <v>26</v>
      </c>
      <c r="D52" s="18" t="s">
        <v>31</v>
      </c>
      <c r="E52" s="18" t="s">
        <v>32</v>
      </c>
      <c r="F52" s="19">
        <v>777</v>
      </c>
      <c r="G52" s="20" t="s">
        <v>194</v>
      </c>
      <c r="H52" s="27" t="s">
        <v>195</v>
      </c>
      <c r="I52" s="27" t="s">
        <v>28</v>
      </c>
      <c r="J52" s="29">
        <v>2023</v>
      </c>
      <c r="K52" s="23"/>
      <c r="L52" s="23">
        <v>46150</v>
      </c>
      <c r="M52" s="23">
        <f t="shared" si="7"/>
        <v>46332</v>
      </c>
      <c r="N52" s="24">
        <f t="shared" ca="1" si="4"/>
        <v>99</v>
      </c>
      <c r="O52" s="19" t="s">
        <v>196</v>
      </c>
      <c r="P52" s="19" t="s">
        <v>197</v>
      </c>
      <c r="Q52" s="18" t="s">
        <v>27</v>
      </c>
      <c r="R52" s="30" t="str">
        <f t="shared" ca="1" si="8"/>
        <v>Layak</v>
      </c>
    </row>
    <row r="53" spans="2:18" s="31" customFormat="1">
      <c r="B53" s="16">
        <f t="shared" si="5"/>
        <v>42</v>
      </c>
      <c r="C53" s="28" t="s">
        <v>26</v>
      </c>
      <c r="D53" s="18" t="s">
        <v>31</v>
      </c>
      <c r="E53" s="18" t="s">
        <v>32</v>
      </c>
      <c r="F53" s="19">
        <v>777</v>
      </c>
      <c r="G53" s="20" t="s">
        <v>198</v>
      </c>
      <c r="H53" s="27" t="s">
        <v>199</v>
      </c>
      <c r="I53" s="27" t="s">
        <v>28</v>
      </c>
      <c r="J53" s="29">
        <v>2023</v>
      </c>
      <c r="K53" s="23"/>
      <c r="L53" s="23">
        <v>46150</v>
      </c>
      <c r="M53" s="23">
        <f t="shared" si="7"/>
        <v>46332</v>
      </c>
      <c r="N53" s="24">
        <f t="shared" ca="1" si="4"/>
        <v>99</v>
      </c>
      <c r="O53" s="19" t="s">
        <v>200</v>
      </c>
      <c r="P53" s="19" t="s">
        <v>201</v>
      </c>
      <c r="Q53" s="18" t="s">
        <v>27</v>
      </c>
      <c r="R53" s="30" t="str">
        <f t="shared" ca="1" si="8"/>
        <v>Layak</v>
      </c>
    </row>
    <row r="54" spans="2:18" s="31" customFormat="1">
      <c r="B54" s="16">
        <f t="shared" si="5"/>
        <v>43</v>
      </c>
      <c r="C54" s="28" t="s">
        <v>26</v>
      </c>
      <c r="D54" s="18" t="s">
        <v>31</v>
      </c>
      <c r="E54" s="18" t="s">
        <v>32</v>
      </c>
      <c r="F54" s="19">
        <v>777</v>
      </c>
      <c r="G54" s="20" t="s">
        <v>202</v>
      </c>
      <c r="H54" s="27" t="s">
        <v>203</v>
      </c>
      <c r="I54" s="27" t="s">
        <v>28</v>
      </c>
      <c r="J54" s="29">
        <v>2023</v>
      </c>
      <c r="K54" s="23"/>
      <c r="L54" s="23">
        <v>46150</v>
      </c>
      <c r="M54" s="23">
        <f t="shared" si="7"/>
        <v>46332</v>
      </c>
      <c r="N54" s="24">
        <f t="shared" ca="1" si="4"/>
        <v>99</v>
      </c>
      <c r="O54" s="19" t="s">
        <v>204</v>
      </c>
      <c r="P54" s="19" t="s">
        <v>205</v>
      </c>
      <c r="Q54" s="18" t="s">
        <v>27</v>
      </c>
      <c r="R54" s="30" t="str">
        <f t="shared" ca="1" si="8"/>
        <v>Layak</v>
      </c>
    </row>
    <row r="55" spans="2:18" s="31" customFormat="1">
      <c r="B55" s="16">
        <f t="shared" si="5"/>
        <v>44</v>
      </c>
      <c r="C55" s="28" t="s">
        <v>26</v>
      </c>
      <c r="D55" s="18" t="s">
        <v>31</v>
      </c>
      <c r="E55" s="18" t="s">
        <v>32</v>
      </c>
      <c r="F55" s="19">
        <v>777</v>
      </c>
      <c r="G55" s="20" t="s">
        <v>206</v>
      </c>
      <c r="H55" s="27" t="s">
        <v>207</v>
      </c>
      <c r="I55" s="27" t="s">
        <v>28</v>
      </c>
      <c r="J55" s="29">
        <v>2023</v>
      </c>
      <c r="K55" s="23"/>
      <c r="L55" s="23">
        <v>46150</v>
      </c>
      <c r="M55" s="23">
        <f t="shared" si="7"/>
        <v>46332</v>
      </c>
      <c r="N55" s="24">
        <f t="shared" ca="1" si="4"/>
        <v>99</v>
      </c>
      <c r="O55" s="19" t="s">
        <v>208</v>
      </c>
      <c r="P55" s="19" t="s">
        <v>209</v>
      </c>
      <c r="Q55" s="18" t="s">
        <v>27</v>
      </c>
      <c r="R55" s="30" t="str">
        <f t="shared" ca="1" si="8"/>
        <v>Layak</v>
      </c>
    </row>
    <row r="56" spans="2:18" s="31" customFormat="1">
      <c r="B56" s="16">
        <f t="shared" si="5"/>
        <v>45</v>
      </c>
      <c r="C56" s="28" t="s">
        <v>26</v>
      </c>
      <c r="D56" s="18" t="s">
        <v>31</v>
      </c>
      <c r="E56" s="18" t="s">
        <v>32</v>
      </c>
      <c r="F56" s="19">
        <v>777</v>
      </c>
      <c r="G56" s="20" t="s">
        <v>210</v>
      </c>
      <c r="H56" s="27" t="s">
        <v>211</v>
      </c>
      <c r="I56" s="27" t="s">
        <v>28</v>
      </c>
      <c r="J56" s="29">
        <v>2023</v>
      </c>
      <c r="K56" s="23"/>
      <c r="L56" s="23">
        <v>46150</v>
      </c>
      <c r="M56" s="23">
        <f t="shared" si="7"/>
        <v>46332</v>
      </c>
      <c r="N56" s="24">
        <f t="shared" ca="1" si="4"/>
        <v>99</v>
      </c>
      <c r="O56" s="19" t="s">
        <v>212</v>
      </c>
      <c r="P56" s="19" t="s">
        <v>213</v>
      </c>
      <c r="Q56" s="18" t="s">
        <v>27</v>
      </c>
      <c r="R56" s="30" t="str">
        <f t="shared" ca="1" si="8"/>
        <v>Layak</v>
      </c>
    </row>
    <row r="57" spans="2:18" s="31" customFormat="1">
      <c r="B57" s="16">
        <f t="shared" si="5"/>
        <v>46</v>
      </c>
      <c r="C57" s="28" t="s">
        <v>26</v>
      </c>
      <c r="D57" s="18" t="s">
        <v>31</v>
      </c>
      <c r="E57" s="18" t="s">
        <v>32</v>
      </c>
      <c r="F57" s="19">
        <v>777</v>
      </c>
      <c r="G57" s="20" t="s">
        <v>214</v>
      </c>
      <c r="H57" s="27" t="s">
        <v>215</v>
      </c>
      <c r="I57" s="27" t="s">
        <v>28</v>
      </c>
      <c r="J57" s="29">
        <v>2023</v>
      </c>
      <c r="K57" s="23"/>
      <c r="L57" s="23">
        <v>46150</v>
      </c>
      <c r="M57" s="23">
        <f t="shared" si="7"/>
        <v>46332</v>
      </c>
      <c r="N57" s="24">
        <f t="shared" ca="1" si="4"/>
        <v>99</v>
      </c>
      <c r="O57" s="19" t="s">
        <v>216</v>
      </c>
      <c r="P57" s="19" t="s">
        <v>217</v>
      </c>
      <c r="Q57" s="18" t="s">
        <v>27</v>
      </c>
      <c r="R57" s="30" t="str">
        <f t="shared" ca="1" si="8"/>
        <v>Layak</v>
      </c>
    </row>
    <row r="58" spans="2:18" s="31" customFormat="1">
      <c r="B58" s="16">
        <f t="shared" si="5"/>
        <v>47</v>
      </c>
      <c r="C58" s="28" t="s">
        <v>26</v>
      </c>
      <c r="D58" s="18" t="s">
        <v>31</v>
      </c>
      <c r="E58" s="18" t="s">
        <v>32</v>
      </c>
      <c r="F58" s="19">
        <v>777</v>
      </c>
      <c r="G58" s="20" t="s">
        <v>218</v>
      </c>
      <c r="H58" s="27" t="s">
        <v>219</v>
      </c>
      <c r="I58" s="27" t="s">
        <v>28</v>
      </c>
      <c r="J58" s="29">
        <v>2023</v>
      </c>
      <c r="K58" s="23"/>
      <c r="L58" s="23">
        <v>46150</v>
      </c>
      <c r="M58" s="23">
        <f t="shared" si="7"/>
        <v>46332</v>
      </c>
      <c r="N58" s="24">
        <f t="shared" ca="1" si="4"/>
        <v>99</v>
      </c>
      <c r="O58" s="19" t="s">
        <v>220</v>
      </c>
      <c r="P58" s="19" t="s">
        <v>221</v>
      </c>
      <c r="Q58" s="18" t="s">
        <v>27</v>
      </c>
      <c r="R58" s="30" t="str">
        <f t="shared" ca="1" si="8"/>
        <v>Layak</v>
      </c>
    </row>
    <row r="59" spans="2:18" s="31" customFormat="1">
      <c r="B59" s="16">
        <f t="shared" si="5"/>
        <v>48</v>
      </c>
      <c r="C59" s="28" t="s">
        <v>26</v>
      </c>
      <c r="D59" s="18" t="s">
        <v>31</v>
      </c>
      <c r="E59" s="18" t="s">
        <v>32</v>
      </c>
      <c r="F59" s="19">
        <v>777</v>
      </c>
      <c r="G59" s="20" t="s">
        <v>222</v>
      </c>
      <c r="H59" s="27" t="s">
        <v>223</v>
      </c>
      <c r="I59" s="27" t="s">
        <v>28</v>
      </c>
      <c r="J59" s="29">
        <v>2023</v>
      </c>
      <c r="K59" s="23"/>
      <c r="L59" s="23">
        <v>46150</v>
      </c>
      <c r="M59" s="23">
        <f t="shared" si="7"/>
        <v>46332</v>
      </c>
      <c r="N59" s="24">
        <f t="shared" ca="1" si="4"/>
        <v>99</v>
      </c>
      <c r="O59" s="19" t="s">
        <v>224</v>
      </c>
      <c r="P59" s="19" t="s">
        <v>225</v>
      </c>
      <c r="Q59" s="18" t="s">
        <v>27</v>
      </c>
      <c r="R59" s="30" t="str">
        <f t="shared" ca="1" si="8"/>
        <v>Layak</v>
      </c>
    </row>
    <row r="60" spans="2:18" s="31" customFormat="1">
      <c r="B60" s="16">
        <f t="shared" si="5"/>
        <v>49</v>
      </c>
      <c r="C60" s="28" t="s">
        <v>26</v>
      </c>
      <c r="D60" s="18" t="s">
        <v>31</v>
      </c>
      <c r="E60" s="18" t="s">
        <v>32</v>
      </c>
      <c r="F60" s="19">
        <v>777</v>
      </c>
      <c r="G60" s="20" t="s">
        <v>226</v>
      </c>
      <c r="H60" s="27" t="s">
        <v>227</v>
      </c>
      <c r="I60" s="27" t="s">
        <v>28</v>
      </c>
      <c r="J60" s="29">
        <v>2023</v>
      </c>
      <c r="K60" s="23"/>
      <c r="L60" s="23">
        <v>46150</v>
      </c>
      <c r="M60" s="23">
        <f t="shared" si="7"/>
        <v>46332</v>
      </c>
      <c r="N60" s="24">
        <f t="shared" ca="1" si="4"/>
        <v>99</v>
      </c>
      <c r="O60" s="19" t="s">
        <v>228</v>
      </c>
      <c r="P60" s="19" t="s">
        <v>229</v>
      </c>
      <c r="Q60" s="18" t="s">
        <v>27</v>
      </c>
      <c r="R60" s="30" t="str">
        <f t="shared" ca="1" si="8"/>
        <v>Layak</v>
      </c>
    </row>
    <row r="61" spans="2:18" s="31" customFormat="1">
      <c r="B61" s="16">
        <f t="shared" si="5"/>
        <v>50</v>
      </c>
      <c r="C61" s="28" t="s">
        <v>26</v>
      </c>
      <c r="D61" s="18" t="s">
        <v>31</v>
      </c>
      <c r="E61" s="18" t="s">
        <v>32</v>
      </c>
      <c r="F61" s="19">
        <v>777</v>
      </c>
      <c r="G61" s="20" t="s">
        <v>230</v>
      </c>
      <c r="H61" s="27" t="s">
        <v>231</v>
      </c>
      <c r="I61" s="27" t="s">
        <v>28</v>
      </c>
      <c r="J61" s="29">
        <v>2023</v>
      </c>
      <c r="K61" s="23"/>
      <c r="L61" s="23">
        <v>46150</v>
      </c>
      <c r="M61" s="23">
        <f t="shared" si="7"/>
        <v>46332</v>
      </c>
      <c r="N61" s="24">
        <f t="shared" ca="1" si="4"/>
        <v>99</v>
      </c>
      <c r="O61" s="19" t="s">
        <v>232</v>
      </c>
      <c r="P61" s="19" t="s">
        <v>233</v>
      </c>
      <c r="Q61" s="18" t="s">
        <v>27</v>
      </c>
      <c r="R61" s="30" t="str">
        <f t="shared" ca="1" si="8"/>
        <v>Layak</v>
      </c>
    </row>
    <row r="62" spans="2:18" s="31" customFormat="1">
      <c r="B62" s="16">
        <f t="shared" si="5"/>
        <v>51</v>
      </c>
      <c r="C62" s="28" t="s">
        <v>26</v>
      </c>
      <c r="D62" s="18" t="s">
        <v>31</v>
      </c>
      <c r="E62" s="18" t="s">
        <v>32</v>
      </c>
      <c r="F62" s="19">
        <v>777</v>
      </c>
      <c r="G62" s="20" t="s">
        <v>234</v>
      </c>
      <c r="H62" s="27" t="s">
        <v>235</v>
      </c>
      <c r="I62" s="27" t="s">
        <v>28</v>
      </c>
      <c r="J62" s="29">
        <v>2023</v>
      </c>
      <c r="K62" s="23"/>
      <c r="L62" s="23">
        <v>46150</v>
      </c>
      <c r="M62" s="23">
        <f t="shared" si="7"/>
        <v>46332</v>
      </c>
      <c r="N62" s="24">
        <f t="shared" ca="1" si="4"/>
        <v>99</v>
      </c>
      <c r="O62" s="19" t="s">
        <v>236</v>
      </c>
      <c r="P62" s="19" t="s">
        <v>237</v>
      </c>
      <c r="Q62" s="18" t="s">
        <v>27</v>
      </c>
      <c r="R62" s="30" t="str">
        <f t="shared" ca="1" si="8"/>
        <v>Layak</v>
      </c>
    </row>
    <row r="63" spans="2:18" s="31" customFormat="1">
      <c r="B63" s="16">
        <f t="shared" si="5"/>
        <v>52</v>
      </c>
      <c r="C63" s="28" t="s">
        <v>26</v>
      </c>
      <c r="D63" s="18" t="s">
        <v>31</v>
      </c>
      <c r="E63" s="18" t="s">
        <v>32</v>
      </c>
      <c r="F63" s="19">
        <v>777</v>
      </c>
      <c r="G63" s="20" t="s">
        <v>238</v>
      </c>
      <c r="H63" s="27" t="s">
        <v>239</v>
      </c>
      <c r="I63" s="27" t="s">
        <v>28</v>
      </c>
      <c r="J63" s="29">
        <v>2023</v>
      </c>
      <c r="K63" s="23"/>
      <c r="L63" s="23">
        <v>46150</v>
      </c>
      <c r="M63" s="23">
        <f t="shared" si="7"/>
        <v>46332</v>
      </c>
      <c r="N63" s="24">
        <f t="shared" ca="1" si="4"/>
        <v>99</v>
      </c>
      <c r="O63" s="19" t="s">
        <v>240</v>
      </c>
      <c r="P63" s="19" t="s">
        <v>241</v>
      </c>
      <c r="Q63" s="18" t="s">
        <v>27</v>
      </c>
      <c r="R63" s="30" t="str">
        <f t="shared" ca="1" si="8"/>
        <v>Layak</v>
      </c>
    </row>
    <row r="64" spans="2:18" s="31" customFormat="1">
      <c r="B64" s="16">
        <f t="shared" si="5"/>
        <v>53</v>
      </c>
      <c r="C64" s="28" t="s">
        <v>26</v>
      </c>
      <c r="D64" s="18" t="s">
        <v>31</v>
      </c>
      <c r="E64" s="18" t="s">
        <v>32</v>
      </c>
      <c r="F64" s="19">
        <v>777</v>
      </c>
      <c r="G64" s="20" t="s">
        <v>242</v>
      </c>
      <c r="H64" s="27" t="s">
        <v>243</v>
      </c>
      <c r="I64" s="27" t="s">
        <v>28</v>
      </c>
      <c r="J64" s="29">
        <v>2023</v>
      </c>
      <c r="K64" s="23"/>
      <c r="L64" s="23">
        <v>46150</v>
      </c>
      <c r="M64" s="23">
        <f t="shared" si="7"/>
        <v>46332</v>
      </c>
      <c r="N64" s="24">
        <f t="shared" ca="1" si="4"/>
        <v>99</v>
      </c>
      <c r="O64" s="19" t="s">
        <v>244</v>
      </c>
      <c r="P64" s="19" t="s">
        <v>245</v>
      </c>
      <c r="Q64" s="18" t="s">
        <v>27</v>
      </c>
      <c r="R64" s="30" t="str">
        <f t="shared" ca="1" si="8"/>
        <v>Layak</v>
      </c>
    </row>
    <row r="65" spans="2:18" s="31" customFormat="1">
      <c r="B65" s="16">
        <f t="shared" si="5"/>
        <v>54</v>
      </c>
      <c r="C65" s="28" t="s">
        <v>26</v>
      </c>
      <c r="D65" s="18" t="s">
        <v>31</v>
      </c>
      <c r="E65" s="18" t="s">
        <v>32</v>
      </c>
      <c r="F65" s="19">
        <v>777</v>
      </c>
      <c r="G65" s="20" t="s">
        <v>246</v>
      </c>
      <c r="H65" s="27" t="s">
        <v>247</v>
      </c>
      <c r="I65" s="27" t="s">
        <v>28</v>
      </c>
      <c r="J65" s="29">
        <v>2023</v>
      </c>
      <c r="K65" s="23"/>
      <c r="L65" s="23">
        <v>46150</v>
      </c>
      <c r="M65" s="23">
        <f t="shared" si="7"/>
        <v>46332</v>
      </c>
      <c r="N65" s="24">
        <f t="shared" ca="1" si="4"/>
        <v>99</v>
      </c>
      <c r="O65" s="19" t="s">
        <v>248</v>
      </c>
      <c r="P65" s="19" t="s">
        <v>249</v>
      </c>
      <c r="Q65" s="18" t="s">
        <v>27</v>
      </c>
      <c r="R65" s="30" t="str">
        <f t="shared" ca="1" si="8"/>
        <v>Layak</v>
      </c>
    </row>
    <row r="66" spans="2:18" s="31" customFormat="1">
      <c r="B66" s="16">
        <f t="shared" si="5"/>
        <v>55</v>
      </c>
      <c r="C66" s="28" t="s">
        <v>26</v>
      </c>
      <c r="D66" s="18" t="s">
        <v>31</v>
      </c>
      <c r="E66" s="18" t="s">
        <v>32</v>
      </c>
      <c r="F66" s="19">
        <v>777</v>
      </c>
      <c r="G66" s="20" t="s">
        <v>250</v>
      </c>
      <c r="H66" s="27" t="s">
        <v>251</v>
      </c>
      <c r="I66" s="27" t="s">
        <v>28</v>
      </c>
      <c r="J66" s="29">
        <v>2023</v>
      </c>
      <c r="K66" s="23"/>
      <c r="L66" s="23">
        <v>46150</v>
      </c>
      <c r="M66" s="23">
        <f t="shared" si="7"/>
        <v>46332</v>
      </c>
      <c r="N66" s="24">
        <f t="shared" ca="1" si="4"/>
        <v>99</v>
      </c>
      <c r="O66" s="19" t="s">
        <v>252</v>
      </c>
      <c r="P66" s="19" t="s">
        <v>253</v>
      </c>
      <c r="Q66" s="18" t="s">
        <v>27</v>
      </c>
      <c r="R66" s="30" t="str">
        <f t="shared" ca="1" si="8"/>
        <v>Layak</v>
      </c>
    </row>
    <row r="67" spans="2:18" s="31" customFormat="1">
      <c r="B67" s="16">
        <f t="shared" si="5"/>
        <v>56</v>
      </c>
      <c r="C67" s="28" t="s">
        <v>26</v>
      </c>
      <c r="D67" s="18" t="s">
        <v>31</v>
      </c>
      <c r="E67" s="18" t="s">
        <v>32</v>
      </c>
      <c r="F67" s="19">
        <v>777</v>
      </c>
      <c r="G67" s="20" t="s">
        <v>254</v>
      </c>
      <c r="H67" s="27" t="s">
        <v>255</v>
      </c>
      <c r="I67" s="27" t="s">
        <v>28</v>
      </c>
      <c r="J67" s="29">
        <v>2023</v>
      </c>
      <c r="K67" s="23"/>
      <c r="L67" s="23">
        <v>46150</v>
      </c>
      <c r="M67" s="23">
        <f t="shared" si="7"/>
        <v>46332</v>
      </c>
      <c r="N67" s="24">
        <f t="shared" ca="1" si="4"/>
        <v>99</v>
      </c>
      <c r="O67" s="19" t="s">
        <v>256</v>
      </c>
      <c r="P67" s="19" t="s">
        <v>253</v>
      </c>
      <c r="Q67" s="18" t="s">
        <v>27</v>
      </c>
      <c r="R67" s="30" t="str">
        <f t="shared" ca="1" si="8"/>
        <v>Layak</v>
      </c>
    </row>
    <row r="68" spans="2:18" s="31" customFormat="1">
      <c r="B68" s="16">
        <f t="shared" si="5"/>
        <v>57</v>
      </c>
      <c r="C68" s="28" t="s">
        <v>26</v>
      </c>
      <c r="D68" s="18" t="s">
        <v>31</v>
      </c>
      <c r="E68" s="18" t="s">
        <v>32</v>
      </c>
      <c r="F68" s="19">
        <v>777</v>
      </c>
      <c r="G68" s="20" t="s">
        <v>257</v>
      </c>
      <c r="H68" s="27" t="s">
        <v>258</v>
      </c>
      <c r="I68" s="27" t="s">
        <v>28</v>
      </c>
      <c r="J68" s="29">
        <v>2023</v>
      </c>
      <c r="K68" s="23"/>
      <c r="L68" s="23">
        <v>46150</v>
      </c>
      <c r="M68" s="23">
        <f t="shared" si="7"/>
        <v>46332</v>
      </c>
      <c r="N68" s="24">
        <f t="shared" ca="1" si="4"/>
        <v>99</v>
      </c>
      <c r="O68" s="19" t="s">
        <v>259</v>
      </c>
      <c r="P68" s="19" t="s">
        <v>260</v>
      </c>
      <c r="Q68" s="18" t="s">
        <v>27</v>
      </c>
      <c r="R68" s="30" t="str">
        <f t="shared" ca="1" si="8"/>
        <v>Layak</v>
      </c>
    </row>
    <row r="69" spans="2:18" s="31" customFormat="1">
      <c r="B69" s="16">
        <f t="shared" si="5"/>
        <v>58</v>
      </c>
      <c r="C69" s="28" t="s">
        <v>26</v>
      </c>
      <c r="D69" s="18" t="s">
        <v>31</v>
      </c>
      <c r="E69" s="18" t="s">
        <v>32</v>
      </c>
      <c r="F69" s="19">
        <v>777</v>
      </c>
      <c r="G69" s="20" t="s">
        <v>261</v>
      </c>
      <c r="H69" s="27" t="s">
        <v>262</v>
      </c>
      <c r="I69" s="27" t="s">
        <v>28</v>
      </c>
      <c r="J69" s="29">
        <v>2023</v>
      </c>
      <c r="K69" s="23"/>
      <c r="L69" s="23">
        <v>46150</v>
      </c>
      <c r="M69" s="23">
        <f t="shared" si="7"/>
        <v>46332</v>
      </c>
      <c r="N69" s="24">
        <f t="shared" ca="1" si="4"/>
        <v>99</v>
      </c>
      <c r="O69" s="19" t="s">
        <v>263</v>
      </c>
      <c r="P69" s="19" t="s">
        <v>264</v>
      </c>
      <c r="Q69" s="18" t="s">
        <v>27</v>
      </c>
      <c r="R69" s="30" t="str">
        <f t="shared" ca="1" si="8"/>
        <v>Layak</v>
      </c>
    </row>
    <row r="70" spans="2:18" s="31" customFormat="1">
      <c r="B70" s="16">
        <f t="shared" si="5"/>
        <v>59</v>
      </c>
      <c r="C70" s="28" t="s">
        <v>26</v>
      </c>
      <c r="D70" s="18" t="s">
        <v>31</v>
      </c>
      <c r="E70" s="18" t="s">
        <v>32</v>
      </c>
      <c r="F70" s="19">
        <v>777</v>
      </c>
      <c r="G70" s="20" t="s">
        <v>265</v>
      </c>
      <c r="H70" s="27" t="s">
        <v>266</v>
      </c>
      <c r="I70" s="27" t="s">
        <v>28</v>
      </c>
      <c r="J70" s="29">
        <v>2023</v>
      </c>
      <c r="K70" s="23"/>
      <c r="L70" s="23">
        <v>46150</v>
      </c>
      <c r="M70" s="23">
        <f t="shared" si="7"/>
        <v>46332</v>
      </c>
      <c r="N70" s="24">
        <f t="shared" ca="1" si="4"/>
        <v>99</v>
      </c>
      <c r="O70" s="19" t="s">
        <v>267</v>
      </c>
      <c r="P70" s="19" t="s">
        <v>268</v>
      </c>
      <c r="Q70" s="18" t="s">
        <v>27</v>
      </c>
      <c r="R70" s="30" t="str">
        <f t="shared" ca="1" si="8"/>
        <v>Layak</v>
      </c>
    </row>
    <row r="71" spans="2:18" s="31" customFormat="1">
      <c r="B71" s="16">
        <f t="shared" si="5"/>
        <v>60</v>
      </c>
      <c r="C71" s="28" t="s">
        <v>26</v>
      </c>
      <c r="D71" s="18" t="s">
        <v>31</v>
      </c>
      <c r="E71" s="18" t="s">
        <v>32</v>
      </c>
      <c r="F71" s="19">
        <v>777</v>
      </c>
      <c r="G71" s="20" t="s">
        <v>269</v>
      </c>
      <c r="H71" s="27" t="s">
        <v>270</v>
      </c>
      <c r="I71" s="27" t="s">
        <v>28</v>
      </c>
      <c r="J71" s="29">
        <v>2023</v>
      </c>
      <c r="K71" s="23"/>
      <c r="L71" s="23">
        <v>46150</v>
      </c>
      <c r="M71" s="23">
        <f t="shared" si="7"/>
        <v>46332</v>
      </c>
      <c r="N71" s="24">
        <f t="shared" ca="1" si="4"/>
        <v>99</v>
      </c>
      <c r="O71" s="19" t="s">
        <v>271</v>
      </c>
      <c r="P71" s="19" t="s">
        <v>272</v>
      </c>
      <c r="Q71" s="18" t="s">
        <v>27</v>
      </c>
      <c r="R71" s="30" t="str">
        <f t="shared" ca="1" si="8"/>
        <v>Layak</v>
      </c>
    </row>
    <row r="72" spans="2:18" s="31" customFormat="1">
      <c r="B72" s="16">
        <f t="shared" si="5"/>
        <v>61</v>
      </c>
      <c r="C72" s="28" t="s">
        <v>26</v>
      </c>
      <c r="D72" s="18" t="s">
        <v>31</v>
      </c>
      <c r="E72" s="18" t="s">
        <v>32</v>
      </c>
      <c r="F72" s="19">
        <v>777</v>
      </c>
      <c r="G72" s="20" t="s">
        <v>273</v>
      </c>
      <c r="H72" s="27" t="s">
        <v>274</v>
      </c>
      <c r="I72" s="27" t="s">
        <v>28</v>
      </c>
      <c r="J72" s="29">
        <v>2023</v>
      </c>
      <c r="K72" s="23"/>
      <c r="L72" s="23">
        <v>46150</v>
      </c>
      <c r="M72" s="23">
        <f t="shared" si="7"/>
        <v>46332</v>
      </c>
      <c r="N72" s="24">
        <f t="shared" ca="1" si="4"/>
        <v>99</v>
      </c>
      <c r="O72" s="19" t="s">
        <v>275</v>
      </c>
      <c r="P72" s="19" t="s">
        <v>276</v>
      </c>
      <c r="Q72" s="18" t="s">
        <v>27</v>
      </c>
      <c r="R72" s="30" t="str">
        <f t="shared" ca="1" si="8"/>
        <v>Layak</v>
      </c>
    </row>
    <row r="73" spans="2:18" s="31" customFormat="1">
      <c r="B73" s="16">
        <f t="shared" si="5"/>
        <v>62</v>
      </c>
      <c r="C73" s="28" t="s">
        <v>26</v>
      </c>
      <c r="D73" s="18" t="s">
        <v>31</v>
      </c>
      <c r="E73" s="18" t="s">
        <v>32</v>
      </c>
      <c r="F73" s="19">
        <v>777</v>
      </c>
      <c r="G73" s="20" t="s">
        <v>277</v>
      </c>
      <c r="H73" s="27" t="s">
        <v>278</v>
      </c>
      <c r="I73" s="27" t="s">
        <v>28</v>
      </c>
      <c r="J73" s="29">
        <v>2023</v>
      </c>
      <c r="K73" s="23"/>
      <c r="L73" s="23">
        <v>46150</v>
      </c>
      <c r="M73" s="23">
        <f t="shared" si="7"/>
        <v>46332</v>
      </c>
      <c r="N73" s="24">
        <f t="shared" ca="1" si="4"/>
        <v>99</v>
      </c>
      <c r="O73" s="19" t="s">
        <v>279</v>
      </c>
      <c r="P73" s="19" t="s">
        <v>280</v>
      </c>
      <c r="Q73" s="18" t="s">
        <v>27</v>
      </c>
      <c r="R73" s="30" t="str">
        <f t="shared" ca="1" si="8"/>
        <v>Layak</v>
      </c>
    </row>
    <row r="74" spans="2:18" s="31" customFormat="1">
      <c r="B74" s="16">
        <f t="shared" si="5"/>
        <v>63</v>
      </c>
      <c r="C74" s="28" t="s">
        <v>26</v>
      </c>
      <c r="D74" s="18" t="s">
        <v>31</v>
      </c>
      <c r="E74" s="18" t="s">
        <v>32</v>
      </c>
      <c r="F74" s="19">
        <v>777</v>
      </c>
      <c r="G74" s="20" t="s">
        <v>281</v>
      </c>
      <c r="H74" s="27" t="s">
        <v>282</v>
      </c>
      <c r="I74" s="27" t="s">
        <v>28</v>
      </c>
      <c r="J74" s="29">
        <v>2023</v>
      </c>
      <c r="K74" s="23"/>
      <c r="L74" s="23">
        <v>46150</v>
      </c>
      <c r="M74" s="23">
        <f t="shared" si="7"/>
        <v>46332</v>
      </c>
      <c r="N74" s="24">
        <f t="shared" ca="1" si="4"/>
        <v>99</v>
      </c>
      <c r="O74" s="19" t="s">
        <v>283</v>
      </c>
      <c r="P74" s="19" t="s">
        <v>284</v>
      </c>
      <c r="Q74" s="18" t="s">
        <v>27</v>
      </c>
      <c r="R74" s="30" t="str">
        <f t="shared" ca="1" si="8"/>
        <v>Layak</v>
      </c>
    </row>
    <row r="75" spans="2:18" s="31" customFormat="1">
      <c r="B75" s="16">
        <f t="shared" si="5"/>
        <v>64</v>
      </c>
      <c r="C75" s="28" t="s">
        <v>26</v>
      </c>
      <c r="D75" s="18" t="s">
        <v>31</v>
      </c>
      <c r="E75" s="18" t="s">
        <v>32</v>
      </c>
      <c r="F75" s="19">
        <v>777</v>
      </c>
      <c r="G75" s="20" t="s">
        <v>285</v>
      </c>
      <c r="H75" s="27" t="s">
        <v>286</v>
      </c>
      <c r="I75" s="27" t="s">
        <v>28</v>
      </c>
      <c r="J75" s="29">
        <v>2023</v>
      </c>
      <c r="K75" s="23"/>
      <c r="L75" s="23">
        <v>46153</v>
      </c>
      <c r="M75" s="23">
        <f t="shared" si="7"/>
        <v>46335</v>
      </c>
      <c r="N75" s="24">
        <f t="shared" ca="1" si="4"/>
        <v>102</v>
      </c>
      <c r="O75" s="19" t="s">
        <v>287</v>
      </c>
      <c r="P75" s="19" t="s">
        <v>288</v>
      </c>
      <c r="Q75" s="18" t="s">
        <v>27</v>
      </c>
      <c r="R75" s="30" t="str">
        <f t="shared" ca="1" si="8"/>
        <v>Layak</v>
      </c>
    </row>
    <row r="76" spans="2:18" s="31" customFormat="1">
      <c r="B76" s="16">
        <f t="shared" si="5"/>
        <v>65</v>
      </c>
      <c r="C76" s="28" t="s">
        <v>26</v>
      </c>
      <c r="D76" s="18" t="s">
        <v>31</v>
      </c>
      <c r="E76" s="18" t="s">
        <v>32</v>
      </c>
      <c r="F76" s="19">
        <v>777</v>
      </c>
      <c r="G76" s="20" t="s">
        <v>289</v>
      </c>
      <c r="H76" s="27" t="s">
        <v>290</v>
      </c>
      <c r="I76" s="27" t="s">
        <v>28</v>
      </c>
      <c r="J76" s="29">
        <v>2023</v>
      </c>
      <c r="K76" s="23"/>
      <c r="L76" s="23">
        <v>46153</v>
      </c>
      <c r="M76" s="23">
        <f t="shared" si="7"/>
        <v>46335</v>
      </c>
      <c r="N76" s="24">
        <f t="shared" ca="1" si="4"/>
        <v>102</v>
      </c>
      <c r="O76" s="19" t="s">
        <v>291</v>
      </c>
      <c r="P76" s="19" t="s">
        <v>292</v>
      </c>
      <c r="Q76" s="18" t="s">
        <v>27</v>
      </c>
      <c r="R76" s="30" t="str">
        <f t="shared" ca="1" si="8"/>
        <v>Layak</v>
      </c>
    </row>
    <row r="77" spans="2:18" s="31" customFormat="1">
      <c r="B77" s="16">
        <f t="shared" si="5"/>
        <v>66</v>
      </c>
      <c r="C77" s="28" t="s">
        <v>26</v>
      </c>
      <c r="D77" s="18" t="s">
        <v>31</v>
      </c>
      <c r="E77" s="18" t="s">
        <v>32</v>
      </c>
      <c r="F77" s="19">
        <v>777</v>
      </c>
      <c r="G77" s="20" t="s">
        <v>293</v>
      </c>
      <c r="H77" s="27" t="s">
        <v>294</v>
      </c>
      <c r="I77" s="27" t="s">
        <v>28</v>
      </c>
      <c r="J77" s="29">
        <v>2023</v>
      </c>
      <c r="K77" s="23"/>
      <c r="L77" s="23">
        <v>46153</v>
      </c>
      <c r="M77" s="23">
        <f t="shared" si="7"/>
        <v>46335</v>
      </c>
      <c r="N77" s="24">
        <f t="shared" ca="1" si="4"/>
        <v>102</v>
      </c>
      <c r="O77" s="19" t="s">
        <v>295</v>
      </c>
      <c r="P77" s="19" t="s">
        <v>296</v>
      </c>
      <c r="Q77" s="18" t="s">
        <v>27</v>
      </c>
      <c r="R77" s="30" t="str">
        <f t="shared" ca="1" si="8"/>
        <v>Layak</v>
      </c>
    </row>
    <row r="78" spans="2:18" s="31" customFormat="1">
      <c r="B78" s="16">
        <f t="shared" si="5"/>
        <v>67</v>
      </c>
      <c r="C78" s="28" t="s">
        <v>26</v>
      </c>
      <c r="D78" s="18" t="s">
        <v>31</v>
      </c>
      <c r="E78" s="18" t="s">
        <v>32</v>
      </c>
      <c r="F78" s="19">
        <v>777</v>
      </c>
      <c r="G78" s="20" t="s">
        <v>297</v>
      </c>
      <c r="H78" s="27" t="s">
        <v>298</v>
      </c>
      <c r="I78" s="27" t="s">
        <v>28</v>
      </c>
      <c r="J78" s="29">
        <v>2023</v>
      </c>
      <c r="K78" s="23"/>
      <c r="L78" s="23">
        <v>46153</v>
      </c>
      <c r="M78" s="23">
        <f t="shared" si="7"/>
        <v>46335</v>
      </c>
      <c r="N78" s="24">
        <f t="shared" ca="1" si="4"/>
        <v>102</v>
      </c>
      <c r="O78" s="19" t="s">
        <v>299</v>
      </c>
      <c r="P78" s="19" t="s">
        <v>300</v>
      </c>
      <c r="Q78" s="18" t="s">
        <v>27</v>
      </c>
      <c r="R78" s="30" t="str">
        <f t="shared" ca="1" si="8"/>
        <v>Layak</v>
      </c>
    </row>
    <row r="79" spans="2:18" s="31" customFormat="1">
      <c r="B79" s="16">
        <f t="shared" ref="B79:B135" si="9">ROW()-ROW($B$11)</f>
        <v>68</v>
      </c>
      <c r="C79" s="28" t="s">
        <v>26</v>
      </c>
      <c r="D79" s="18" t="s">
        <v>31</v>
      </c>
      <c r="E79" s="18" t="s">
        <v>32</v>
      </c>
      <c r="F79" s="19">
        <v>777</v>
      </c>
      <c r="G79" s="20" t="s">
        <v>302</v>
      </c>
      <c r="H79" s="27" t="s">
        <v>303</v>
      </c>
      <c r="I79" s="27" t="s">
        <v>28</v>
      </c>
      <c r="J79" s="29">
        <v>2022</v>
      </c>
      <c r="K79" s="23"/>
      <c r="L79" s="23">
        <v>46157</v>
      </c>
      <c r="M79" s="23">
        <f t="shared" ref="M79:M142" si="10">L79+182</f>
        <v>46339</v>
      </c>
      <c r="N79" s="24">
        <f t="shared" ref="N79:N134" ca="1" si="11">_xlfn.DAYS(M79,TODAY())</f>
        <v>106</v>
      </c>
      <c r="O79" s="19" t="s">
        <v>304</v>
      </c>
      <c r="P79" s="19" t="s">
        <v>305</v>
      </c>
      <c r="Q79" s="18" t="s">
        <v>27</v>
      </c>
      <c r="R79" s="30" t="str">
        <f t="shared" ca="1" si="8"/>
        <v>Layak</v>
      </c>
    </row>
    <row r="80" spans="2:18" s="31" customFormat="1">
      <c r="B80" s="16">
        <f t="shared" si="9"/>
        <v>69</v>
      </c>
      <c r="C80" s="28" t="s">
        <v>26</v>
      </c>
      <c r="D80" s="18" t="s">
        <v>31</v>
      </c>
      <c r="E80" s="18" t="s">
        <v>32</v>
      </c>
      <c r="F80" s="19">
        <v>777</v>
      </c>
      <c r="G80" s="20" t="s">
        <v>306</v>
      </c>
      <c r="H80" s="27" t="s">
        <v>307</v>
      </c>
      <c r="I80" s="27" t="s">
        <v>28</v>
      </c>
      <c r="J80" s="29">
        <v>2019</v>
      </c>
      <c r="K80" s="23"/>
      <c r="L80" s="23">
        <v>46157</v>
      </c>
      <c r="M80" s="23">
        <f t="shared" si="10"/>
        <v>46339</v>
      </c>
      <c r="N80" s="24">
        <f t="shared" ca="1" si="11"/>
        <v>106</v>
      </c>
      <c r="O80" s="19" t="s">
        <v>308</v>
      </c>
      <c r="P80" s="19" t="s">
        <v>309</v>
      </c>
      <c r="Q80" s="18" t="s">
        <v>27</v>
      </c>
      <c r="R80" s="30" t="str">
        <f t="shared" ca="1" si="8"/>
        <v>Layak</v>
      </c>
    </row>
    <row r="81" spans="2:18" s="31" customFormat="1">
      <c r="B81" s="16">
        <f t="shared" si="9"/>
        <v>70</v>
      </c>
      <c r="C81" s="28" t="s">
        <v>26</v>
      </c>
      <c r="D81" s="18" t="s">
        <v>31</v>
      </c>
      <c r="E81" s="18" t="s">
        <v>32</v>
      </c>
      <c r="F81" s="19">
        <v>777</v>
      </c>
      <c r="G81" s="20" t="s">
        <v>310</v>
      </c>
      <c r="H81" s="27" t="s">
        <v>311</v>
      </c>
      <c r="I81" s="27" t="s">
        <v>28</v>
      </c>
      <c r="J81" s="29">
        <v>2019</v>
      </c>
      <c r="K81" s="23"/>
      <c r="L81" s="23">
        <v>46157</v>
      </c>
      <c r="M81" s="23">
        <f t="shared" si="10"/>
        <v>46339</v>
      </c>
      <c r="N81" s="24">
        <f t="shared" ca="1" si="11"/>
        <v>106</v>
      </c>
      <c r="O81" s="19" t="s">
        <v>312</v>
      </c>
      <c r="P81" s="19" t="s">
        <v>313</v>
      </c>
      <c r="Q81" s="18" t="s">
        <v>27</v>
      </c>
      <c r="R81" s="30" t="str">
        <f t="shared" ca="1" si="8"/>
        <v>Layak</v>
      </c>
    </row>
    <row r="82" spans="2:18" s="31" customFormat="1">
      <c r="B82" s="16">
        <f t="shared" si="9"/>
        <v>71</v>
      </c>
      <c r="C82" s="28" t="s">
        <v>26</v>
      </c>
      <c r="D82" s="18" t="s">
        <v>31</v>
      </c>
      <c r="E82" s="18" t="s">
        <v>32</v>
      </c>
      <c r="F82" s="19">
        <v>777</v>
      </c>
      <c r="G82" s="20" t="s">
        <v>314</v>
      </c>
      <c r="H82" s="27" t="s">
        <v>315</v>
      </c>
      <c r="I82" s="27" t="s">
        <v>28</v>
      </c>
      <c r="J82" s="29">
        <v>2019</v>
      </c>
      <c r="K82" s="23"/>
      <c r="L82" s="23">
        <v>46157</v>
      </c>
      <c r="M82" s="23">
        <f t="shared" si="10"/>
        <v>46339</v>
      </c>
      <c r="N82" s="24">
        <f t="shared" ca="1" si="11"/>
        <v>106</v>
      </c>
      <c r="O82" s="19" t="s">
        <v>316</v>
      </c>
      <c r="P82" s="19" t="s">
        <v>317</v>
      </c>
      <c r="Q82" s="18" t="s">
        <v>27</v>
      </c>
      <c r="R82" s="30" t="str">
        <f t="shared" ca="1" si="8"/>
        <v>Layak</v>
      </c>
    </row>
    <row r="83" spans="2:18" s="31" customFormat="1">
      <c r="B83" s="16">
        <f t="shared" si="9"/>
        <v>72</v>
      </c>
      <c r="C83" s="28" t="s">
        <v>26</v>
      </c>
      <c r="D83" s="18" t="s">
        <v>31</v>
      </c>
      <c r="E83" s="18" t="s">
        <v>32</v>
      </c>
      <c r="F83" s="19">
        <v>777</v>
      </c>
      <c r="G83" s="20" t="s">
        <v>318</v>
      </c>
      <c r="H83" s="27" t="s">
        <v>319</v>
      </c>
      <c r="I83" s="27" t="s">
        <v>28</v>
      </c>
      <c r="J83" s="29">
        <v>2022</v>
      </c>
      <c r="K83" s="23"/>
      <c r="L83" s="23">
        <v>46153</v>
      </c>
      <c r="M83" s="23">
        <f t="shared" si="10"/>
        <v>46335</v>
      </c>
      <c r="N83" s="24">
        <f t="shared" ca="1" si="11"/>
        <v>102</v>
      </c>
      <c r="O83" s="19" t="s">
        <v>320</v>
      </c>
      <c r="P83" s="19" t="s">
        <v>321</v>
      </c>
      <c r="Q83" s="18" t="s">
        <v>27</v>
      </c>
      <c r="R83" s="30" t="str">
        <f t="shared" ca="1" si="8"/>
        <v>Layak</v>
      </c>
    </row>
    <row r="84" spans="2:18" s="42" customFormat="1">
      <c r="B84" s="34">
        <f t="shared" si="9"/>
        <v>73</v>
      </c>
      <c r="C84" s="35" t="s">
        <v>26</v>
      </c>
      <c r="D84" s="34" t="s">
        <v>31</v>
      </c>
      <c r="E84" s="34" t="s">
        <v>32</v>
      </c>
      <c r="F84" s="36">
        <v>777</v>
      </c>
      <c r="G84" s="20" t="s">
        <v>322</v>
      </c>
      <c r="H84" s="37" t="s">
        <v>323</v>
      </c>
      <c r="I84" s="37" t="s">
        <v>28</v>
      </c>
      <c r="J84" s="38">
        <v>2019</v>
      </c>
      <c r="K84" s="39"/>
      <c r="L84" s="23">
        <v>46153</v>
      </c>
      <c r="M84" s="39">
        <f t="shared" si="10"/>
        <v>46335</v>
      </c>
      <c r="N84" s="40">
        <f t="shared" ca="1" si="11"/>
        <v>102</v>
      </c>
      <c r="O84" s="36" t="s">
        <v>324</v>
      </c>
      <c r="P84" s="36" t="s">
        <v>325</v>
      </c>
      <c r="Q84" s="34" t="s">
        <v>27</v>
      </c>
      <c r="R84" s="41" t="str">
        <f t="shared" ca="1" si="8"/>
        <v>Layak</v>
      </c>
    </row>
    <row r="85" spans="2:18" s="31" customFormat="1">
      <c r="B85" s="16">
        <f t="shared" si="9"/>
        <v>74</v>
      </c>
      <c r="C85" s="28" t="s">
        <v>26</v>
      </c>
      <c r="D85" s="18" t="s">
        <v>31</v>
      </c>
      <c r="E85" s="18" t="s">
        <v>32</v>
      </c>
      <c r="F85" s="19">
        <v>777</v>
      </c>
      <c r="G85" s="20" t="s">
        <v>326</v>
      </c>
      <c r="H85" s="27" t="s">
        <v>327</v>
      </c>
      <c r="I85" s="27" t="s">
        <v>28</v>
      </c>
      <c r="J85" s="29">
        <v>2019</v>
      </c>
      <c r="K85" s="23"/>
      <c r="L85" s="23">
        <v>46153</v>
      </c>
      <c r="M85" s="23">
        <f t="shared" si="10"/>
        <v>46335</v>
      </c>
      <c r="N85" s="24">
        <f t="shared" ca="1" si="11"/>
        <v>102</v>
      </c>
      <c r="O85" s="19" t="s">
        <v>328</v>
      </c>
      <c r="P85" s="19" t="s">
        <v>329</v>
      </c>
      <c r="Q85" s="18" t="s">
        <v>27</v>
      </c>
      <c r="R85" s="30" t="str">
        <f t="shared" ca="1" si="8"/>
        <v>Layak</v>
      </c>
    </row>
    <row r="86" spans="2:18" s="31" customFormat="1">
      <c r="B86" s="16">
        <f t="shared" si="9"/>
        <v>75</v>
      </c>
      <c r="C86" s="28" t="s">
        <v>26</v>
      </c>
      <c r="D86" s="18" t="s">
        <v>31</v>
      </c>
      <c r="E86" s="18" t="s">
        <v>32</v>
      </c>
      <c r="F86" s="19">
        <v>777</v>
      </c>
      <c r="G86" s="20" t="s">
        <v>330</v>
      </c>
      <c r="H86" s="27" t="s">
        <v>331</v>
      </c>
      <c r="I86" s="27" t="s">
        <v>28</v>
      </c>
      <c r="J86" s="29">
        <v>2022</v>
      </c>
      <c r="K86" s="23"/>
      <c r="L86" s="23">
        <v>46153</v>
      </c>
      <c r="M86" s="23">
        <f t="shared" si="10"/>
        <v>46335</v>
      </c>
      <c r="N86" s="24">
        <f t="shared" ca="1" si="11"/>
        <v>102</v>
      </c>
      <c r="O86" s="19" t="s">
        <v>332</v>
      </c>
      <c r="P86" s="19" t="s">
        <v>333</v>
      </c>
      <c r="Q86" s="18" t="s">
        <v>27</v>
      </c>
      <c r="R86" s="30" t="str">
        <f t="shared" ca="1" si="8"/>
        <v>Layak</v>
      </c>
    </row>
    <row r="87" spans="2:18" s="31" customFormat="1">
      <c r="B87" s="16">
        <f t="shared" si="9"/>
        <v>76</v>
      </c>
      <c r="C87" s="28" t="s">
        <v>26</v>
      </c>
      <c r="D87" s="18" t="s">
        <v>31</v>
      </c>
      <c r="E87" s="18" t="s">
        <v>32</v>
      </c>
      <c r="F87" s="19">
        <v>777</v>
      </c>
      <c r="G87" s="20" t="s">
        <v>334</v>
      </c>
      <c r="H87" s="27" t="s">
        <v>335</v>
      </c>
      <c r="I87" s="27" t="s">
        <v>28</v>
      </c>
      <c r="J87" s="29">
        <v>2022</v>
      </c>
      <c r="K87" s="23"/>
      <c r="L87" s="23">
        <v>46153</v>
      </c>
      <c r="M87" s="23">
        <f t="shared" si="10"/>
        <v>46335</v>
      </c>
      <c r="N87" s="24">
        <f t="shared" ca="1" si="11"/>
        <v>102</v>
      </c>
      <c r="O87" s="19" t="s">
        <v>336</v>
      </c>
      <c r="P87" s="19" t="s">
        <v>337</v>
      </c>
      <c r="Q87" s="18" t="s">
        <v>27</v>
      </c>
      <c r="R87" s="30" t="str">
        <f t="shared" ca="1" si="8"/>
        <v>Layak</v>
      </c>
    </row>
    <row r="88" spans="2:18" s="31" customFormat="1">
      <c r="B88" s="16">
        <f t="shared" si="9"/>
        <v>77</v>
      </c>
      <c r="C88" s="28" t="s">
        <v>26</v>
      </c>
      <c r="D88" s="18" t="s">
        <v>31</v>
      </c>
      <c r="E88" s="18" t="s">
        <v>32</v>
      </c>
      <c r="F88" s="19">
        <v>777</v>
      </c>
      <c r="G88" s="20" t="s">
        <v>338</v>
      </c>
      <c r="H88" s="27" t="s">
        <v>339</v>
      </c>
      <c r="I88" s="27" t="s">
        <v>28</v>
      </c>
      <c r="J88" s="29">
        <v>2022</v>
      </c>
      <c r="K88" s="23"/>
      <c r="L88" s="23">
        <v>46153</v>
      </c>
      <c r="M88" s="23">
        <f t="shared" si="10"/>
        <v>46335</v>
      </c>
      <c r="N88" s="24">
        <f t="shared" ca="1" si="11"/>
        <v>102</v>
      </c>
      <c r="O88" s="19" t="s">
        <v>340</v>
      </c>
      <c r="P88" s="19" t="s">
        <v>341</v>
      </c>
      <c r="Q88" s="18" t="s">
        <v>27</v>
      </c>
      <c r="R88" s="30" t="str">
        <f t="shared" ca="1" si="8"/>
        <v>Layak</v>
      </c>
    </row>
    <row r="89" spans="2:18" s="31" customFormat="1">
      <c r="B89" s="16">
        <f t="shared" si="9"/>
        <v>78</v>
      </c>
      <c r="C89" s="28" t="s">
        <v>26</v>
      </c>
      <c r="D89" s="18" t="s">
        <v>31</v>
      </c>
      <c r="E89" s="18" t="s">
        <v>32</v>
      </c>
      <c r="F89" s="19">
        <v>777</v>
      </c>
      <c r="G89" s="20" t="s">
        <v>342</v>
      </c>
      <c r="H89" s="27" t="s">
        <v>343</v>
      </c>
      <c r="I89" s="27" t="s">
        <v>28</v>
      </c>
      <c r="J89" s="29">
        <v>2022</v>
      </c>
      <c r="K89" s="23"/>
      <c r="L89" s="23">
        <v>46153</v>
      </c>
      <c r="M89" s="23">
        <f t="shared" si="10"/>
        <v>46335</v>
      </c>
      <c r="N89" s="24">
        <f t="shared" ca="1" si="11"/>
        <v>102</v>
      </c>
      <c r="O89" s="19" t="s">
        <v>344</v>
      </c>
      <c r="P89" s="19" t="s">
        <v>345</v>
      </c>
      <c r="Q89" s="18" t="s">
        <v>27</v>
      </c>
      <c r="R89" s="30" t="str">
        <f t="shared" ca="1" si="8"/>
        <v>Layak</v>
      </c>
    </row>
    <row r="90" spans="2:18" s="31" customFormat="1">
      <c r="B90" s="16">
        <f t="shared" si="9"/>
        <v>79</v>
      </c>
      <c r="C90" s="28" t="s">
        <v>26</v>
      </c>
      <c r="D90" s="18" t="s">
        <v>31</v>
      </c>
      <c r="E90" s="18" t="s">
        <v>32</v>
      </c>
      <c r="F90" s="19">
        <v>777</v>
      </c>
      <c r="G90" s="20" t="s">
        <v>346</v>
      </c>
      <c r="H90" s="27" t="s">
        <v>347</v>
      </c>
      <c r="I90" s="27" t="s">
        <v>28</v>
      </c>
      <c r="J90" s="29">
        <v>2022</v>
      </c>
      <c r="K90" s="23"/>
      <c r="L90" s="23">
        <v>46153</v>
      </c>
      <c r="M90" s="23">
        <f t="shared" si="10"/>
        <v>46335</v>
      </c>
      <c r="N90" s="24">
        <f t="shared" ca="1" si="11"/>
        <v>102</v>
      </c>
      <c r="O90" s="19" t="s">
        <v>348</v>
      </c>
      <c r="P90" s="19" t="s">
        <v>349</v>
      </c>
      <c r="Q90" s="18" t="s">
        <v>27</v>
      </c>
      <c r="R90" s="30" t="str">
        <f t="shared" ca="1" si="8"/>
        <v>Layak</v>
      </c>
    </row>
    <row r="91" spans="2:18" s="31" customFormat="1">
      <c r="B91" s="16">
        <f t="shared" si="9"/>
        <v>80</v>
      </c>
      <c r="C91" s="28" t="s">
        <v>26</v>
      </c>
      <c r="D91" s="18" t="s">
        <v>31</v>
      </c>
      <c r="E91" s="18" t="s">
        <v>32</v>
      </c>
      <c r="F91" s="19">
        <v>777</v>
      </c>
      <c r="G91" s="20" t="s">
        <v>350</v>
      </c>
      <c r="H91" s="27" t="s">
        <v>351</v>
      </c>
      <c r="I91" s="27" t="s">
        <v>28</v>
      </c>
      <c r="J91" s="29">
        <v>2022</v>
      </c>
      <c r="K91" s="23"/>
      <c r="L91" s="23">
        <v>46153</v>
      </c>
      <c r="M91" s="23">
        <f t="shared" si="10"/>
        <v>46335</v>
      </c>
      <c r="N91" s="24">
        <f t="shared" ca="1" si="11"/>
        <v>102</v>
      </c>
      <c r="O91" s="19" t="s">
        <v>352</v>
      </c>
      <c r="P91" s="19" t="s">
        <v>353</v>
      </c>
      <c r="Q91" s="18" t="s">
        <v>27</v>
      </c>
      <c r="R91" s="30" t="str">
        <f t="shared" ref="R91:R154" ca="1" si="12">IF(N91&gt;15,"Layak",IF(N91&gt;0,"Segera Lakukan Pemeriksaan","Tidak Layak"))</f>
        <v>Layak</v>
      </c>
    </row>
    <row r="92" spans="2:18" s="31" customFormat="1">
      <c r="B92" s="16">
        <f t="shared" si="9"/>
        <v>81</v>
      </c>
      <c r="C92" s="28" t="s">
        <v>26</v>
      </c>
      <c r="D92" s="18" t="s">
        <v>31</v>
      </c>
      <c r="E92" s="18" t="s">
        <v>32</v>
      </c>
      <c r="F92" s="19">
        <v>777</v>
      </c>
      <c r="G92" s="20" t="s">
        <v>354</v>
      </c>
      <c r="H92" s="27" t="s">
        <v>355</v>
      </c>
      <c r="I92" s="27" t="s">
        <v>28</v>
      </c>
      <c r="J92" s="29">
        <v>2022</v>
      </c>
      <c r="K92" s="23"/>
      <c r="L92" s="23">
        <v>46153</v>
      </c>
      <c r="M92" s="23">
        <f t="shared" si="10"/>
        <v>46335</v>
      </c>
      <c r="N92" s="24">
        <f t="shared" ca="1" si="11"/>
        <v>102</v>
      </c>
      <c r="O92" s="19" t="s">
        <v>356</v>
      </c>
      <c r="P92" s="19" t="s">
        <v>357</v>
      </c>
      <c r="Q92" s="18" t="s">
        <v>27</v>
      </c>
      <c r="R92" s="30" t="str">
        <f t="shared" ca="1" si="12"/>
        <v>Layak</v>
      </c>
    </row>
    <row r="93" spans="2:18" s="31" customFormat="1">
      <c r="B93" s="16">
        <f t="shared" si="9"/>
        <v>82</v>
      </c>
      <c r="C93" s="28" t="s">
        <v>26</v>
      </c>
      <c r="D93" s="18" t="s">
        <v>31</v>
      </c>
      <c r="E93" s="18" t="s">
        <v>32</v>
      </c>
      <c r="F93" s="19">
        <v>777</v>
      </c>
      <c r="G93" s="20" t="s">
        <v>358</v>
      </c>
      <c r="H93" s="27" t="s">
        <v>359</v>
      </c>
      <c r="I93" s="27" t="s">
        <v>28</v>
      </c>
      <c r="J93" s="29">
        <v>2022</v>
      </c>
      <c r="K93" s="23"/>
      <c r="L93" s="23">
        <v>46153</v>
      </c>
      <c r="M93" s="23">
        <f t="shared" si="10"/>
        <v>46335</v>
      </c>
      <c r="N93" s="24">
        <f t="shared" ca="1" si="11"/>
        <v>102</v>
      </c>
      <c r="O93" s="19" t="s">
        <v>360</v>
      </c>
      <c r="P93" s="19" t="s">
        <v>305</v>
      </c>
      <c r="Q93" s="18" t="s">
        <v>27</v>
      </c>
      <c r="R93" s="30" t="str">
        <f t="shared" ca="1" si="12"/>
        <v>Layak</v>
      </c>
    </row>
    <row r="94" spans="2:18" s="31" customFormat="1">
      <c r="B94" s="16">
        <f t="shared" si="9"/>
        <v>83</v>
      </c>
      <c r="C94" s="28" t="s">
        <v>26</v>
      </c>
      <c r="D94" s="18" t="s">
        <v>31</v>
      </c>
      <c r="E94" s="18" t="s">
        <v>32</v>
      </c>
      <c r="F94" s="19">
        <v>777</v>
      </c>
      <c r="G94" s="20" t="s">
        <v>361</v>
      </c>
      <c r="H94" s="27" t="s">
        <v>362</v>
      </c>
      <c r="I94" s="27" t="s">
        <v>28</v>
      </c>
      <c r="J94" s="29">
        <v>2022</v>
      </c>
      <c r="K94" s="23"/>
      <c r="L94" s="23">
        <v>46153</v>
      </c>
      <c r="M94" s="23">
        <f t="shared" si="10"/>
        <v>46335</v>
      </c>
      <c r="N94" s="24">
        <f t="shared" ca="1" si="11"/>
        <v>102</v>
      </c>
      <c r="O94" s="19" t="s">
        <v>363</v>
      </c>
      <c r="P94" s="19" t="s">
        <v>364</v>
      </c>
      <c r="Q94" s="18" t="s">
        <v>27</v>
      </c>
      <c r="R94" s="30" t="str">
        <f t="shared" ca="1" si="12"/>
        <v>Layak</v>
      </c>
    </row>
    <row r="95" spans="2:18" s="31" customFormat="1">
      <c r="B95" s="16">
        <f t="shared" si="9"/>
        <v>84</v>
      </c>
      <c r="C95" s="28" t="s">
        <v>26</v>
      </c>
      <c r="D95" s="18" t="s">
        <v>31</v>
      </c>
      <c r="E95" s="18" t="s">
        <v>32</v>
      </c>
      <c r="F95" s="19">
        <v>777</v>
      </c>
      <c r="G95" s="20" t="s">
        <v>365</v>
      </c>
      <c r="H95" s="27" t="s">
        <v>366</v>
      </c>
      <c r="I95" s="27" t="s">
        <v>28</v>
      </c>
      <c r="J95" s="29">
        <v>2022</v>
      </c>
      <c r="K95" s="23"/>
      <c r="L95" s="23">
        <v>46153</v>
      </c>
      <c r="M95" s="23">
        <f t="shared" si="10"/>
        <v>46335</v>
      </c>
      <c r="N95" s="24">
        <f t="shared" ca="1" si="11"/>
        <v>102</v>
      </c>
      <c r="O95" s="19" t="s">
        <v>367</v>
      </c>
      <c r="P95" s="19" t="s">
        <v>368</v>
      </c>
      <c r="Q95" s="18" t="s">
        <v>27</v>
      </c>
      <c r="R95" s="30" t="str">
        <f t="shared" ca="1" si="12"/>
        <v>Layak</v>
      </c>
    </row>
    <row r="96" spans="2:18" s="31" customFormat="1">
      <c r="B96" s="16">
        <f t="shared" si="9"/>
        <v>85</v>
      </c>
      <c r="C96" s="28" t="s">
        <v>26</v>
      </c>
      <c r="D96" s="18" t="s">
        <v>31</v>
      </c>
      <c r="E96" s="18" t="s">
        <v>32</v>
      </c>
      <c r="F96" s="19">
        <v>777</v>
      </c>
      <c r="G96" s="20" t="s">
        <v>369</v>
      </c>
      <c r="H96" s="27" t="s">
        <v>370</v>
      </c>
      <c r="I96" s="27" t="s">
        <v>28</v>
      </c>
      <c r="J96" s="29">
        <v>2022</v>
      </c>
      <c r="K96" s="23"/>
      <c r="L96" s="23">
        <v>46153</v>
      </c>
      <c r="M96" s="23">
        <f t="shared" si="10"/>
        <v>46335</v>
      </c>
      <c r="N96" s="24">
        <f t="shared" ca="1" si="11"/>
        <v>102</v>
      </c>
      <c r="O96" s="19" t="s">
        <v>371</v>
      </c>
      <c r="P96" s="19" t="s">
        <v>372</v>
      </c>
      <c r="Q96" s="18" t="s">
        <v>27</v>
      </c>
      <c r="R96" s="30" t="str">
        <f t="shared" ca="1" si="12"/>
        <v>Layak</v>
      </c>
    </row>
    <row r="97" spans="2:18" s="31" customFormat="1">
      <c r="B97" s="16">
        <f t="shared" si="9"/>
        <v>86</v>
      </c>
      <c r="C97" s="28" t="s">
        <v>26</v>
      </c>
      <c r="D97" s="18" t="s">
        <v>31</v>
      </c>
      <c r="E97" s="18" t="s">
        <v>32</v>
      </c>
      <c r="F97" s="19">
        <v>777</v>
      </c>
      <c r="G97" s="20" t="s">
        <v>373</v>
      </c>
      <c r="H97" s="27" t="s">
        <v>374</v>
      </c>
      <c r="I97" s="27" t="s">
        <v>28</v>
      </c>
      <c r="J97" s="29">
        <v>2022</v>
      </c>
      <c r="K97" s="23"/>
      <c r="L97" s="23">
        <v>46153</v>
      </c>
      <c r="M97" s="23">
        <f t="shared" si="10"/>
        <v>46335</v>
      </c>
      <c r="N97" s="24">
        <f t="shared" ca="1" si="11"/>
        <v>102</v>
      </c>
      <c r="O97" s="19" t="s">
        <v>375</v>
      </c>
      <c r="P97" s="19" t="s">
        <v>376</v>
      </c>
      <c r="Q97" s="18" t="s">
        <v>27</v>
      </c>
      <c r="R97" s="30" t="str">
        <f t="shared" ca="1" si="12"/>
        <v>Layak</v>
      </c>
    </row>
    <row r="98" spans="2:18" s="31" customFormat="1">
      <c r="B98" s="16">
        <f t="shared" si="9"/>
        <v>87</v>
      </c>
      <c r="C98" s="28" t="s">
        <v>26</v>
      </c>
      <c r="D98" s="18" t="s">
        <v>31</v>
      </c>
      <c r="E98" s="18" t="s">
        <v>32</v>
      </c>
      <c r="F98" s="19">
        <v>777</v>
      </c>
      <c r="G98" s="20" t="s">
        <v>377</v>
      </c>
      <c r="H98" s="27" t="s">
        <v>378</v>
      </c>
      <c r="I98" s="27" t="s">
        <v>28</v>
      </c>
      <c r="J98" s="29">
        <v>2022</v>
      </c>
      <c r="K98" s="23"/>
      <c r="L98" s="23">
        <v>46153</v>
      </c>
      <c r="M98" s="23">
        <f t="shared" si="10"/>
        <v>46335</v>
      </c>
      <c r="N98" s="24">
        <f t="shared" ca="1" si="11"/>
        <v>102</v>
      </c>
      <c r="O98" s="19" t="s">
        <v>379</v>
      </c>
      <c r="P98" s="19" t="s">
        <v>380</v>
      </c>
      <c r="Q98" s="18" t="s">
        <v>27</v>
      </c>
      <c r="R98" s="30" t="str">
        <f t="shared" ca="1" si="12"/>
        <v>Layak</v>
      </c>
    </row>
    <row r="99" spans="2:18" s="31" customFormat="1">
      <c r="B99" s="16">
        <f t="shared" si="9"/>
        <v>88</v>
      </c>
      <c r="C99" s="28" t="s">
        <v>26</v>
      </c>
      <c r="D99" s="18" t="s">
        <v>31</v>
      </c>
      <c r="E99" s="18" t="s">
        <v>32</v>
      </c>
      <c r="F99" s="19">
        <v>777</v>
      </c>
      <c r="G99" s="20" t="s">
        <v>381</v>
      </c>
      <c r="H99" s="27" t="s">
        <v>382</v>
      </c>
      <c r="I99" s="27" t="s">
        <v>28</v>
      </c>
      <c r="J99" s="29">
        <v>2022</v>
      </c>
      <c r="K99" s="23"/>
      <c r="L99" s="23">
        <v>46153</v>
      </c>
      <c r="M99" s="23">
        <f t="shared" si="10"/>
        <v>46335</v>
      </c>
      <c r="N99" s="24">
        <f t="shared" ca="1" si="11"/>
        <v>102</v>
      </c>
      <c r="O99" s="19" t="s">
        <v>383</v>
      </c>
      <c r="P99" s="19" t="s">
        <v>384</v>
      </c>
      <c r="Q99" s="18" t="s">
        <v>27</v>
      </c>
      <c r="R99" s="30" t="str">
        <f t="shared" ca="1" si="12"/>
        <v>Layak</v>
      </c>
    </row>
    <row r="100" spans="2:18" s="31" customFormat="1">
      <c r="B100" s="16">
        <f t="shared" si="9"/>
        <v>89</v>
      </c>
      <c r="C100" s="28" t="s">
        <v>26</v>
      </c>
      <c r="D100" s="18" t="s">
        <v>31</v>
      </c>
      <c r="E100" s="18" t="s">
        <v>32</v>
      </c>
      <c r="F100" s="19">
        <v>777</v>
      </c>
      <c r="G100" s="20" t="s">
        <v>385</v>
      </c>
      <c r="H100" s="27" t="s">
        <v>386</v>
      </c>
      <c r="I100" s="27" t="s">
        <v>28</v>
      </c>
      <c r="J100" s="29">
        <v>2022</v>
      </c>
      <c r="K100" s="23"/>
      <c r="L100" s="23">
        <v>46153</v>
      </c>
      <c r="M100" s="23">
        <f t="shared" si="10"/>
        <v>46335</v>
      </c>
      <c r="N100" s="24">
        <f t="shared" ca="1" si="11"/>
        <v>102</v>
      </c>
      <c r="O100" s="19" t="s">
        <v>387</v>
      </c>
      <c r="P100" s="19" t="s">
        <v>388</v>
      </c>
      <c r="Q100" s="18" t="s">
        <v>27</v>
      </c>
      <c r="R100" s="30" t="str">
        <f t="shared" ca="1" si="12"/>
        <v>Layak</v>
      </c>
    </row>
    <row r="101" spans="2:18" s="31" customFormat="1">
      <c r="B101" s="16">
        <f t="shared" si="9"/>
        <v>90</v>
      </c>
      <c r="C101" s="28" t="s">
        <v>26</v>
      </c>
      <c r="D101" s="18" t="s">
        <v>31</v>
      </c>
      <c r="E101" s="18" t="s">
        <v>32</v>
      </c>
      <c r="F101" s="19">
        <v>777</v>
      </c>
      <c r="G101" s="20" t="s">
        <v>389</v>
      </c>
      <c r="H101" s="27" t="s">
        <v>390</v>
      </c>
      <c r="I101" s="27" t="s">
        <v>28</v>
      </c>
      <c r="J101" s="29">
        <v>2022</v>
      </c>
      <c r="K101" s="23"/>
      <c r="L101" s="23">
        <v>46153</v>
      </c>
      <c r="M101" s="23">
        <f t="shared" si="10"/>
        <v>46335</v>
      </c>
      <c r="N101" s="24">
        <f t="shared" ca="1" si="11"/>
        <v>102</v>
      </c>
      <c r="O101" s="19" t="s">
        <v>391</v>
      </c>
      <c r="P101" s="19" t="s">
        <v>392</v>
      </c>
      <c r="Q101" s="18" t="s">
        <v>27</v>
      </c>
      <c r="R101" s="30" t="str">
        <f t="shared" ca="1" si="12"/>
        <v>Layak</v>
      </c>
    </row>
    <row r="102" spans="2:18" s="31" customFormat="1">
      <c r="B102" s="16">
        <f t="shared" si="9"/>
        <v>91</v>
      </c>
      <c r="C102" s="28" t="s">
        <v>26</v>
      </c>
      <c r="D102" s="18" t="s">
        <v>31</v>
      </c>
      <c r="E102" s="18" t="s">
        <v>32</v>
      </c>
      <c r="F102" s="19">
        <v>777</v>
      </c>
      <c r="G102" s="20" t="s">
        <v>393</v>
      </c>
      <c r="H102" s="27" t="s">
        <v>394</v>
      </c>
      <c r="I102" s="27" t="s">
        <v>28</v>
      </c>
      <c r="J102" s="29">
        <v>2022</v>
      </c>
      <c r="K102" s="23"/>
      <c r="L102" s="23">
        <v>46153</v>
      </c>
      <c r="M102" s="23">
        <f t="shared" si="10"/>
        <v>46335</v>
      </c>
      <c r="N102" s="24">
        <f t="shared" ca="1" si="11"/>
        <v>102</v>
      </c>
      <c r="O102" s="19" t="s">
        <v>395</v>
      </c>
      <c r="P102" s="19" t="s">
        <v>396</v>
      </c>
      <c r="Q102" s="18" t="s">
        <v>27</v>
      </c>
      <c r="R102" s="30" t="str">
        <f t="shared" ca="1" si="12"/>
        <v>Layak</v>
      </c>
    </row>
    <row r="103" spans="2:18" s="31" customFormat="1">
      <c r="B103" s="16">
        <f t="shared" si="9"/>
        <v>92</v>
      </c>
      <c r="C103" s="28" t="s">
        <v>26</v>
      </c>
      <c r="D103" s="18" t="s">
        <v>31</v>
      </c>
      <c r="E103" s="18" t="s">
        <v>32</v>
      </c>
      <c r="F103" s="19">
        <v>777</v>
      </c>
      <c r="G103" s="20" t="s">
        <v>397</v>
      </c>
      <c r="H103" s="27" t="s">
        <v>398</v>
      </c>
      <c r="I103" s="27" t="s">
        <v>28</v>
      </c>
      <c r="J103" s="29">
        <v>2022</v>
      </c>
      <c r="K103" s="23"/>
      <c r="L103" s="23">
        <v>46153</v>
      </c>
      <c r="M103" s="23">
        <f t="shared" si="10"/>
        <v>46335</v>
      </c>
      <c r="N103" s="24">
        <f t="shared" ca="1" si="11"/>
        <v>102</v>
      </c>
      <c r="O103" s="19">
        <v>6047342</v>
      </c>
      <c r="P103" s="19" t="s">
        <v>399</v>
      </c>
      <c r="Q103" s="18" t="s">
        <v>27</v>
      </c>
      <c r="R103" s="30" t="str">
        <f t="shared" ca="1" si="12"/>
        <v>Layak</v>
      </c>
    </row>
    <row r="104" spans="2:18" s="31" customFormat="1">
      <c r="B104" s="16">
        <f t="shared" si="9"/>
        <v>93</v>
      </c>
      <c r="C104" s="28" t="s">
        <v>26</v>
      </c>
      <c r="D104" s="18" t="s">
        <v>31</v>
      </c>
      <c r="E104" s="18" t="s">
        <v>32</v>
      </c>
      <c r="F104" s="19">
        <v>777</v>
      </c>
      <c r="G104" s="20" t="s">
        <v>400</v>
      </c>
      <c r="H104" s="27" t="s">
        <v>401</v>
      </c>
      <c r="I104" s="27" t="s">
        <v>28</v>
      </c>
      <c r="J104" s="29">
        <v>2022</v>
      </c>
      <c r="K104" s="23"/>
      <c r="L104" s="23">
        <v>46153</v>
      </c>
      <c r="M104" s="23">
        <f t="shared" si="10"/>
        <v>46335</v>
      </c>
      <c r="N104" s="24">
        <f t="shared" ca="1" si="11"/>
        <v>102</v>
      </c>
      <c r="O104" s="19" t="s">
        <v>402</v>
      </c>
      <c r="P104" s="19" t="s">
        <v>403</v>
      </c>
      <c r="Q104" s="18" t="s">
        <v>27</v>
      </c>
      <c r="R104" s="30" t="str">
        <f t="shared" ca="1" si="12"/>
        <v>Layak</v>
      </c>
    </row>
    <row r="105" spans="2:18" s="31" customFormat="1">
      <c r="B105" s="16">
        <f t="shared" si="9"/>
        <v>94</v>
      </c>
      <c r="C105" s="28" t="s">
        <v>26</v>
      </c>
      <c r="D105" s="18" t="s">
        <v>31</v>
      </c>
      <c r="E105" s="18" t="s">
        <v>32</v>
      </c>
      <c r="F105" s="19">
        <v>777</v>
      </c>
      <c r="G105" s="20" t="s">
        <v>404</v>
      </c>
      <c r="H105" s="27" t="s">
        <v>405</v>
      </c>
      <c r="I105" s="27" t="s">
        <v>28</v>
      </c>
      <c r="J105" s="29">
        <v>2022</v>
      </c>
      <c r="K105" s="23"/>
      <c r="L105" s="23">
        <v>46153</v>
      </c>
      <c r="M105" s="23">
        <f t="shared" si="10"/>
        <v>46335</v>
      </c>
      <c r="N105" s="24">
        <f t="shared" ca="1" si="11"/>
        <v>102</v>
      </c>
      <c r="O105" s="19" t="s">
        <v>406</v>
      </c>
      <c r="P105" s="19" t="s">
        <v>407</v>
      </c>
      <c r="Q105" s="18" t="s">
        <v>27</v>
      </c>
      <c r="R105" s="30" t="str">
        <f t="shared" ca="1" si="12"/>
        <v>Layak</v>
      </c>
    </row>
    <row r="106" spans="2:18" s="31" customFormat="1">
      <c r="B106" s="16">
        <f t="shared" si="9"/>
        <v>95</v>
      </c>
      <c r="C106" s="28" t="s">
        <v>26</v>
      </c>
      <c r="D106" s="18" t="s">
        <v>31</v>
      </c>
      <c r="E106" s="18" t="s">
        <v>32</v>
      </c>
      <c r="F106" s="19">
        <v>777</v>
      </c>
      <c r="G106" s="20" t="s">
        <v>408</v>
      </c>
      <c r="H106" s="27" t="s">
        <v>409</v>
      </c>
      <c r="I106" s="27" t="s">
        <v>28</v>
      </c>
      <c r="J106" s="29">
        <v>2022</v>
      </c>
      <c r="K106" s="23"/>
      <c r="L106" s="23">
        <v>46153</v>
      </c>
      <c r="M106" s="23">
        <f t="shared" si="10"/>
        <v>46335</v>
      </c>
      <c r="N106" s="24">
        <f t="shared" ca="1" si="11"/>
        <v>102</v>
      </c>
      <c r="O106" s="19" t="s">
        <v>410</v>
      </c>
      <c r="P106" s="19" t="s">
        <v>411</v>
      </c>
      <c r="Q106" s="18" t="s">
        <v>27</v>
      </c>
      <c r="R106" s="30" t="str">
        <f t="shared" ca="1" si="12"/>
        <v>Layak</v>
      </c>
    </row>
    <row r="107" spans="2:18" s="31" customFormat="1">
      <c r="B107" s="16">
        <f t="shared" si="9"/>
        <v>96</v>
      </c>
      <c r="C107" s="28" t="s">
        <v>26</v>
      </c>
      <c r="D107" s="18" t="s">
        <v>31</v>
      </c>
      <c r="E107" s="18" t="s">
        <v>32</v>
      </c>
      <c r="F107" s="19">
        <v>777</v>
      </c>
      <c r="G107" s="20" t="s">
        <v>412</v>
      </c>
      <c r="H107" s="27" t="s">
        <v>413</v>
      </c>
      <c r="I107" s="27" t="s">
        <v>28</v>
      </c>
      <c r="J107" s="29">
        <v>2022</v>
      </c>
      <c r="K107" s="23"/>
      <c r="L107" s="23">
        <v>46153</v>
      </c>
      <c r="M107" s="23">
        <f t="shared" si="10"/>
        <v>46335</v>
      </c>
      <c r="N107" s="24">
        <f t="shared" ca="1" si="11"/>
        <v>102</v>
      </c>
      <c r="O107" s="19">
        <v>6047342</v>
      </c>
      <c r="P107" s="19" t="s">
        <v>414</v>
      </c>
      <c r="Q107" s="18" t="s">
        <v>27</v>
      </c>
      <c r="R107" s="30" t="str">
        <f t="shared" ca="1" si="12"/>
        <v>Layak</v>
      </c>
    </row>
    <row r="108" spans="2:18" s="31" customFormat="1">
      <c r="B108" s="16">
        <f t="shared" si="9"/>
        <v>97</v>
      </c>
      <c r="C108" s="28" t="s">
        <v>26</v>
      </c>
      <c r="D108" s="18" t="s">
        <v>31</v>
      </c>
      <c r="E108" s="18" t="s">
        <v>32</v>
      </c>
      <c r="F108" s="19">
        <v>777</v>
      </c>
      <c r="G108" s="20" t="s">
        <v>415</v>
      </c>
      <c r="H108" s="27" t="s">
        <v>416</v>
      </c>
      <c r="I108" s="27" t="s">
        <v>28</v>
      </c>
      <c r="J108" s="29">
        <v>2022</v>
      </c>
      <c r="K108" s="23"/>
      <c r="L108" s="23">
        <v>46153</v>
      </c>
      <c r="M108" s="23">
        <f t="shared" si="10"/>
        <v>46335</v>
      </c>
      <c r="N108" s="24">
        <f t="shared" ca="1" si="11"/>
        <v>102</v>
      </c>
      <c r="O108" s="19" t="s">
        <v>417</v>
      </c>
      <c r="P108" s="19" t="s">
        <v>418</v>
      </c>
      <c r="Q108" s="18" t="s">
        <v>27</v>
      </c>
      <c r="R108" s="30" t="str">
        <f t="shared" ca="1" si="12"/>
        <v>Layak</v>
      </c>
    </row>
    <row r="109" spans="2:18" s="31" customFormat="1">
      <c r="B109" s="16">
        <f t="shared" si="9"/>
        <v>98</v>
      </c>
      <c r="C109" s="28" t="s">
        <v>26</v>
      </c>
      <c r="D109" s="18" t="s">
        <v>31</v>
      </c>
      <c r="E109" s="18" t="s">
        <v>32</v>
      </c>
      <c r="F109" s="19">
        <v>777</v>
      </c>
      <c r="G109" s="20" t="s">
        <v>419</v>
      </c>
      <c r="H109" s="27" t="s">
        <v>420</v>
      </c>
      <c r="I109" s="27" t="s">
        <v>28</v>
      </c>
      <c r="J109" s="29">
        <v>2022</v>
      </c>
      <c r="K109" s="23"/>
      <c r="L109" s="23">
        <v>46153</v>
      </c>
      <c r="M109" s="23">
        <f t="shared" si="10"/>
        <v>46335</v>
      </c>
      <c r="N109" s="24">
        <f t="shared" ca="1" si="11"/>
        <v>102</v>
      </c>
      <c r="O109" s="19" t="s">
        <v>421</v>
      </c>
      <c r="P109" s="19" t="s">
        <v>422</v>
      </c>
      <c r="Q109" s="18" t="s">
        <v>27</v>
      </c>
      <c r="R109" s="30" t="str">
        <f t="shared" ca="1" si="12"/>
        <v>Layak</v>
      </c>
    </row>
    <row r="110" spans="2:18" s="31" customFormat="1">
      <c r="B110" s="16">
        <f t="shared" si="9"/>
        <v>99</v>
      </c>
      <c r="C110" s="28" t="s">
        <v>26</v>
      </c>
      <c r="D110" s="18" t="s">
        <v>31</v>
      </c>
      <c r="E110" s="18" t="s">
        <v>32</v>
      </c>
      <c r="F110" s="19">
        <v>777</v>
      </c>
      <c r="G110" s="20" t="s">
        <v>423</v>
      </c>
      <c r="H110" s="27" t="s">
        <v>424</v>
      </c>
      <c r="I110" s="27" t="s">
        <v>28</v>
      </c>
      <c r="J110" s="29">
        <v>2022</v>
      </c>
      <c r="K110" s="23"/>
      <c r="L110" s="23">
        <v>46153</v>
      </c>
      <c r="M110" s="23">
        <f t="shared" si="10"/>
        <v>46335</v>
      </c>
      <c r="N110" s="24">
        <f t="shared" ca="1" si="11"/>
        <v>102</v>
      </c>
      <c r="O110" s="19" t="s">
        <v>425</v>
      </c>
      <c r="P110" s="19" t="s">
        <v>426</v>
      </c>
      <c r="Q110" s="18" t="s">
        <v>27</v>
      </c>
      <c r="R110" s="30" t="str">
        <f t="shared" ca="1" si="12"/>
        <v>Layak</v>
      </c>
    </row>
    <row r="111" spans="2:18" s="31" customFormat="1">
      <c r="B111" s="16">
        <f t="shared" si="9"/>
        <v>100</v>
      </c>
      <c r="C111" s="28" t="s">
        <v>26</v>
      </c>
      <c r="D111" s="18" t="s">
        <v>31</v>
      </c>
      <c r="E111" s="18" t="s">
        <v>32</v>
      </c>
      <c r="F111" s="19">
        <v>777</v>
      </c>
      <c r="G111" s="20" t="s">
        <v>427</v>
      </c>
      <c r="H111" s="27" t="s">
        <v>428</v>
      </c>
      <c r="I111" s="27" t="s">
        <v>28</v>
      </c>
      <c r="J111" s="29">
        <v>2022</v>
      </c>
      <c r="K111" s="23"/>
      <c r="L111" s="23">
        <v>46153</v>
      </c>
      <c r="M111" s="23">
        <f t="shared" si="10"/>
        <v>46335</v>
      </c>
      <c r="N111" s="24">
        <f t="shared" ca="1" si="11"/>
        <v>102</v>
      </c>
      <c r="O111" s="19" t="s">
        <v>429</v>
      </c>
      <c r="P111" s="19" t="s">
        <v>430</v>
      </c>
      <c r="Q111" s="18" t="s">
        <v>27</v>
      </c>
      <c r="R111" s="30" t="str">
        <f t="shared" ca="1" si="12"/>
        <v>Layak</v>
      </c>
    </row>
    <row r="112" spans="2:18" s="31" customFormat="1">
      <c r="B112" s="16">
        <f t="shared" si="9"/>
        <v>101</v>
      </c>
      <c r="C112" s="28" t="s">
        <v>26</v>
      </c>
      <c r="D112" s="18" t="s">
        <v>31</v>
      </c>
      <c r="E112" s="18" t="s">
        <v>32</v>
      </c>
      <c r="F112" s="19">
        <v>777</v>
      </c>
      <c r="G112" s="20" t="s">
        <v>431</v>
      </c>
      <c r="H112" s="27" t="s">
        <v>432</v>
      </c>
      <c r="I112" s="27" t="s">
        <v>28</v>
      </c>
      <c r="J112" s="29">
        <v>2022</v>
      </c>
      <c r="K112" s="23"/>
      <c r="L112" s="23">
        <v>46153</v>
      </c>
      <c r="M112" s="23">
        <f t="shared" si="10"/>
        <v>46335</v>
      </c>
      <c r="N112" s="24">
        <f t="shared" ca="1" si="11"/>
        <v>102</v>
      </c>
      <c r="O112" s="19" t="s">
        <v>433</v>
      </c>
      <c r="P112" s="19" t="s">
        <v>434</v>
      </c>
      <c r="Q112" s="18" t="s">
        <v>27</v>
      </c>
      <c r="R112" s="30" t="str">
        <f t="shared" ca="1" si="12"/>
        <v>Layak</v>
      </c>
    </row>
    <row r="113" spans="2:18" s="31" customFormat="1">
      <c r="B113" s="16">
        <f t="shared" si="9"/>
        <v>102</v>
      </c>
      <c r="C113" s="28" t="s">
        <v>26</v>
      </c>
      <c r="D113" s="18" t="s">
        <v>31</v>
      </c>
      <c r="E113" s="18" t="s">
        <v>32</v>
      </c>
      <c r="F113" s="19">
        <v>777</v>
      </c>
      <c r="G113" s="20" t="s">
        <v>435</v>
      </c>
      <c r="H113" s="27" t="s">
        <v>436</v>
      </c>
      <c r="I113" s="27" t="s">
        <v>28</v>
      </c>
      <c r="J113" s="29">
        <v>2022</v>
      </c>
      <c r="K113" s="23"/>
      <c r="L113" s="23">
        <v>46153</v>
      </c>
      <c r="M113" s="23">
        <f t="shared" si="10"/>
        <v>46335</v>
      </c>
      <c r="N113" s="24">
        <f t="shared" ca="1" si="11"/>
        <v>102</v>
      </c>
      <c r="O113" s="19" t="s">
        <v>437</v>
      </c>
      <c r="P113" s="19" t="s">
        <v>438</v>
      </c>
      <c r="Q113" s="18" t="s">
        <v>27</v>
      </c>
      <c r="R113" s="30" t="str">
        <f t="shared" ca="1" si="12"/>
        <v>Layak</v>
      </c>
    </row>
    <row r="114" spans="2:18" s="31" customFormat="1">
      <c r="B114" s="16">
        <f t="shared" si="9"/>
        <v>103</v>
      </c>
      <c r="C114" s="28" t="s">
        <v>26</v>
      </c>
      <c r="D114" s="18" t="s">
        <v>31</v>
      </c>
      <c r="E114" s="18" t="s">
        <v>32</v>
      </c>
      <c r="F114" s="19">
        <v>777</v>
      </c>
      <c r="G114" s="20" t="s">
        <v>439</v>
      </c>
      <c r="H114" s="27" t="s">
        <v>440</v>
      </c>
      <c r="I114" s="27" t="s">
        <v>28</v>
      </c>
      <c r="J114" s="29">
        <v>2023</v>
      </c>
      <c r="K114" s="23"/>
      <c r="L114" s="23">
        <v>46153</v>
      </c>
      <c r="M114" s="23">
        <f t="shared" si="10"/>
        <v>46335</v>
      </c>
      <c r="N114" s="24">
        <f t="shared" ca="1" si="11"/>
        <v>102</v>
      </c>
      <c r="O114" s="19" t="s">
        <v>441</v>
      </c>
      <c r="P114" s="19" t="s">
        <v>442</v>
      </c>
      <c r="Q114" s="18" t="s">
        <v>27</v>
      </c>
      <c r="R114" s="30" t="str">
        <f t="shared" ca="1" si="12"/>
        <v>Layak</v>
      </c>
    </row>
    <row r="115" spans="2:18" s="31" customFormat="1">
      <c r="B115" s="16">
        <f t="shared" si="9"/>
        <v>104</v>
      </c>
      <c r="C115" s="28" t="s">
        <v>26</v>
      </c>
      <c r="D115" s="18" t="s">
        <v>31</v>
      </c>
      <c r="E115" s="18" t="s">
        <v>32</v>
      </c>
      <c r="F115" s="19">
        <v>777</v>
      </c>
      <c r="G115" s="20" t="s">
        <v>443</v>
      </c>
      <c r="H115" s="27" t="s">
        <v>444</v>
      </c>
      <c r="I115" s="27" t="s">
        <v>28</v>
      </c>
      <c r="J115" s="29">
        <v>2023</v>
      </c>
      <c r="K115" s="23"/>
      <c r="L115" s="23">
        <v>46153</v>
      </c>
      <c r="M115" s="23">
        <f t="shared" si="10"/>
        <v>46335</v>
      </c>
      <c r="N115" s="24">
        <f t="shared" ca="1" si="11"/>
        <v>102</v>
      </c>
      <c r="O115" s="19" t="s">
        <v>445</v>
      </c>
      <c r="P115" s="19" t="s">
        <v>446</v>
      </c>
      <c r="Q115" s="18" t="s">
        <v>27</v>
      </c>
      <c r="R115" s="30" t="str">
        <f t="shared" ca="1" si="12"/>
        <v>Layak</v>
      </c>
    </row>
    <row r="116" spans="2:18" s="31" customFormat="1">
      <c r="B116" s="16">
        <f t="shared" si="9"/>
        <v>105</v>
      </c>
      <c r="C116" s="28" t="s">
        <v>26</v>
      </c>
      <c r="D116" s="18" t="s">
        <v>31</v>
      </c>
      <c r="E116" s="18" t="s">
        <v>32</v>
      </c>
      <c r="F116" s="19">
        <v>777</v>
      </c>
      <c r="G116" s="20" t="s">
        <v>447</v>
      </c>
      <c r="H116" s="27" t="s">
        <v>448</v>
      </c>
      <c r="I116" s="27" t="s">
        <v>28</v>
      </c>
      <c r="J116" s="29">
        <v>2023</v>
      </c>
      <c r="K116" s="23"/>
      <c r="L116" s="23">
        <v>46153</v>
      </c>
      <c r="M116" s="23">
        <f t="shared" si="10"/>
        <v>46335</v>
      </c>
      <c r="N116" s="24">
        <f t="shared" ca="1" si="11"/>
        <v>102</v>
      </c>
      <c r="O116" s="19" t="s">
        <v>449</v>
      </c>
      <c r="P116" s="19" t="s">
        <v>450</v>
      </c>
      <c r="Q116" s="18" t="s">
        <v>27</v>
      </c>
      <c r="R116" s="30" t="str">
        <f t="shared" ca="1" si="12"/>
        <v>Layak</v>
      </c>
    </row>
    <row r="117" spans="2:18" s="31" customFormat="1">
      <c r="B117" s="16">
        <f t="shared" si="9"/>
        <v>106</v>
      </c>
      <c r="C117" s="28" t="s">
        <v>26</v>
      </c>
      <c r="D117" s="18" t="s">
        <v>31</v>
      </c>
      <c r="E117" s="18" t="s">
        <v>32</v>
      </c>
      <c r="F117" s="19">
        <v>777</v>
      </c>
      <c r="G117" s="20" t="s">
        <v>451</v>
      </c>
      <c r="H117" s="27" t="s">
        <v>452</v>
      </c>
      <c r="I117" s="27" t="s">
        <v>28</v>
      </c>
      <c r="J117" s="29">
        <v>2023</v>
      </c>
      <c r="K117" s="23"/>
      <c r="L117" s="23">
        <v>46153</v>
      </c>
      <c r="M117" s="23">
        <f t="shared" si="10"/>
        <v>46335</v>
      </c>
      <c r="N117" s="24">
        <f t="shared" ca="1" si="11"/>
        <v>102</v>
      </c>
      <c r="O117" s="19" t="s">
        <v>453</v>
      </c>
      <c r="P117" s="19" t="s">
        <v>454</v>
      </c>
      <c r="Q117" s="18" t="s">
        <v>27</v>
      </c>
      <c r="R117" s="30" t="str">
        <f t="shared" ca="1" si="12"/>
        <v>Layak</v>
      </c>
    </row>
    <row r="118" spans="2:18" s="31" customFormat="1">
      <c r="B118" s="16">
        <f t="shared" si="9"/>
        <v>107</v>
      </c>
      <c r="C118" s="28" t="s">
        <v>26</v>
      </c>
      <c r="D118" s="18" t="s">
        <v>31</v>
      </c>
      <c r="E118" s="18" t="s">
        <v>32</v>
      </c>
      <c r="F118" s="19">
        <v>777</v>
      </c>
      <c r="G118" s="20" t="s">
        <v>455</v>
      </c>
      <c r="H118" s="27" t="s">
        <v>456</v>
      </c>
      <c r="I118" s="27" t="s">
        <v>28</v>
      </c>
      <c r="J118" s="29">
        <v>2023</v>
      </c>
      <c r="K118" s="23"/>
      <c r="L118" s="23">
        <v>46153</v>
      </c>
      <c r="M118" s="23">
        <f t="shared" si="10"/>
        <v>46335</v>
      </c>
      <c r="N118" s="24">
        <f t="shared" ca="1" si="11"/>
        <v>102</v>
      </c>
      <c r="O118" s="19" t="s">
        <v>457</v>
      </c>
      <c r="P118" s="19" t="s">
        <v>458</v>
      </c>
      <c r="Q118" s="18" t="s">
        <v>27</v>
      </c>
      <c r="R118" s="30" t="str">
        <f t="shared" ca="1" si="12"/>
        <v>Layak</v>
      </c>
    </row>
    <row r="119" spans="2:18" s="31" customFormat="1">
      <c r="B119" s="16">
        <f t="shared" si="9"/>
        <v>108</v>
      </c>
      <c r="C119" s="28" t="s">
        <v>26</v>
      </c>
      <c r="D119" s="18" t="s">
        <v>31</v>
      </c>
      <c r="E119" s="18" t="s">
        <v>32</v>
      </c>
      <c r="F119" s="19">
        <v>777</v>
      </c>
      <c r="G119" s="20" t="s">
        <v>459</v>
      </c>
      <c r="H119" s="27" t="s">
        <v>460</v>
      </c>
      <c r="I119" s="27" t="s">
        <v>28</v>
      </c>
      <c r="J119" s="29">
        <v>2023</v>
      </c>
      <c r="K119" s="23"/>
      <c r="L119" s="23">
        <v>46153</v>
      </c>
      <c r="M119" s="23">
        <f t="shared" si="10"/>
        <v>46335</v>
      </c>
      <c r="N119" s="24">
        <f t="shared" ca="1" si="11"/>
        <v>102</v>
      </c>
      <c r="O119" s="19" t="s">
        <v>461</v>
      </c>
      <c r="P119" s="19" t="s">
        <v>462</v>
      </c>
      <c r="Q119" s="18" t="s">
        <v>27</v>
      </c>
      <c r="R119" s="30" t="str">
        <f t="shared" ca="1" si="12"/>
        <v>Layak</v>
      </c>
    </row>
    <row r="120" spans="2:18" s="31" customFormat="1">
      <c r="B120" s="16">
        <f t="shared" si="9"/>
        <v>109</v>
      </c>
      <c r="C120" s="28" t="s">
        <v>26</v>
      </c>
      <c r="D120" s="18" t="s">
        <v>31</v>
      </c>
      <c r="E120" s="18" t="s">
        <v>32</v>
      </c>
      <c r="F120" s="19">
        <v>777</v>
      </c>
      <c r="G120" s="20" t="s">
        <v>463</v>
      </c>
      <c r="H120" s="27" t="s">
        <v>464</v>
      </c>
      <c r="I120" s="27" t="s">
        <v>28</v>
      </c>
      <c r="J120" s="29">
        <v>2023</v>
      </c>
      <c r="K120" s="23"/>
      <c r="L120" s="23">
        <v>46153</v>
      </c>
      <c r="M120" s="23">
        <f t="shared" si="10"/>
        <v>46335</v>
      </c>
      <c r="N120" s="24">
        <f t="shared" ca="1" si="11"/>
        <v>102</v>
      </c>
      <c r="O120" s="19" t="s">
        <v>465</v>
      </c>
      <c r="P120" s="19" t="s">
        <v>466</v>
      </c>
      <c r="Q120" s="18" t="s">
        <v>27</v>
      </c>
      <c r="R120" s="30" t="str">
        <f t="shared" ca="1" si="12"/>
        <v>Layak</v>
      </c>
    </row>
    <row r="121" spans="2:18" s="31" customFormat="1">
      <c r="B121" s="16">
        <f t="shared" si="9"/>
        <v>110</v>
      </c>
      <c r="C121" s="28" t="s">
        <v>26</v>
      </c>
      <c r="D121" s="18" t="s">
        <v>31</v>
      </c>
      <c r="E121" s="18" t="s">
        <v>32</v>
      </c>
      <c r="F121" s="19">
        <v>777</v>
      </c>
      <c r="G121" s="20" t="s">
        <v>467</v>
      </c>
      <c r="H121" s="27" t="s">
        <v>468</v>
      </c>
      <c r="I121" s="27" t="s">
        <v>28</v>
      </c>
      <c r="J121" s="29">
        <v>2023</v>
      </c>
      <c r="K121" s="23"/>
      <c r="L121" s="23">
        <v>46153</v>
      </c>
      <c r="M121" s="23">
        <f t="shared" si="10"/>
        <v>46335</v>
      </c>
      <c r="N121" s="24">
        <f t="shared" ca="1" si="11"/>
        <v>102</v>
      </c>
      <c r="O121" s="19" t="s">
        <v>469</v>
      </c>
      <c r="P121" s="19" t="s">
        <v>470</v>
      </c>
      <c r="Q121" s="18" t="s">
        <v>27</v>
      </c>
      <c r="R121" s="30" t="str">
        <f t="shared" ca="1" si="12"/>
        <v>Layak</v>
      </c>
    </row>
    <row r="122" spans="2:18" s="31" customFormat="1">
      <c r="B122" s="16">
        <f t="shared" si="9"/>
        <v>111</v>
      </c>
      <c r="C122" s="28" t="s">
        <v>26</v>
      </c>
      <c r="D122" s="18" t="s">
        <v>31</v>
      </c>
      <c r="E122" s="18" t="s">
        <v>32</v>
      </c>
      <c r="F122" s="19">
        <v>777</v>
      </c>
      <c r="G122" s="20" t="s">
        <v>471</v>
      </c>
      <c r="H122" s="27" t="s">
        <v>472</v>
      </c>
      <c r="I122" s="27" t="s">
        <v>28</v>
      </c>
      <c r="J122" s="29">
        <v>2023</v>
      </c>
      <c r="K122" s="23"/>
      <c r="L122" s="23">
        <v>46153</v>
      </c>
      <c r="M122" s="23">
        <f t="shared" si="10"/>
        <v>46335</v>
      </c>
      <c r="N122" s="24">
        <f t="shared" ca="1" si="11"/>
        <v>102</v>
      </c>
      <c r="O122" s="19" t="s">
        <v>473</v>
      </c>
      <c r="P122" s="19" t="s">
        <v>109</v>
      </c>
      <c r="Q122" s="18" t="s">
        <v>27</v>
      </c>
      <c r="R122" s="30" t="str">
        <f t="shared" ca="1" si="12"/>
        <v>Layak</v>
      </c>
    </row>
    <row r="123" spans="2:18" s="31" customFormat="1">
      <c r="B123" s="16">
        <f t="shared" si="9"/>
        <v>112</v>
      </c>
      <c r="C123" s="28" t="s">
        <v>26</v>
      </c>
      <c r="D123" s="18" t="s">
        <v>31</v>
      </c>
      <c r="E123" s="18" t="s">
        <v>32</v>
      </c>
      <c r="F123" s="19">
        <v>777</v>
      </c>
      <c r="G123" s="20" t="s">
        <v>474</v>
      </c>
      <c r="H123" s="27" t="s">
        <v>475</v>
      </c>
      <c r="I123" s="27" t="s">
        <v>28</v>
      </c>
      <c r="J123" s="29">
        <v>2023</v>
      </c>
      <c r="K123" s="23"/>
      <c r="L123" s="23">
        <v>46153</v>
      </c>
      <c r="M123" s="23">
        <f t="shared" si="10"/>
        <v>46335</v>
      </c>
      <c r="N123" s="24">
        <f t="shared" ca="1" si="11"/>
        <v>102</v>
      </c>
      <c r="O123" s="19" t="s">
        <v>476</v>
      </c>
      <c r="P123" s="19" t="s">
        <v>477</v>
      </c>
      <c r="Q123" s="18" t="s">
        <v>27</v>
      </c>
      <c r="R123" s="30" t="str">
        <f t="shared" ca="1" si="12"/>
        <v>Layak</v>
      </c>
    </row>
    <row r="124" spans="2:18" s="31" customFormat="1">
      <c r="B124" s="16">
        <f t="shared" si="9"/>
        <v>113</v>
      </c>
      <c r="C124" s="28" t="s">
        <v>26</v>
      </c>
      <c r="D124" s="18" t="s">
        <v>31</v>
      </c>
      <c r="E124" s="18" t="s">
        <v>32</v>
      </c>
      <c r="F124" s="19">
        <v>777</v>
      </c>
      <c r="G124" s="20" t="s">
        <v>478</v>
      </c>
      <c r="H124" s="27" t="s">
        <v>479</v>
      </c>
      <c r="I124" s="27" t="s">
        <v>28</v>
      </c>
      <c r="J124" s="29">
        <v>2022</v>
      </c>
      <c r="K124" s="23"/>
      <c r="L124" s="23">
        <v>46153</v>
      </c>
      <c r="M124" s="23">
        <f t="shared" si="10"/>
        <v>46335</v>
      </c>
      <c r="N124" s="24">
        <f t="shared" ca="1" si="11"/>
        <v>102</v>
      </c>
      <c r="O124" s="19" t="s">
        <v>480</v>
      </c>
      <c r="P124" s="19" t="s">
        <v>481</v>
      </c>
      <c r="Q124" s="18" t="s">
        <v>27</v>
      </c>
      <c r="R124" s="30" t="str">
        <f t="shared" ca="1" si="12"/>
        <v>Layak</v>
      </c>
    </row>
    <row r="125" spans="2:18" s="31" customFormat="1">
      <c r="B125" s="16">
        <f t="shared" si="9"/>
        <v>114</v>
      </c>
      <c r="C125" s="28" t="s">
        <v>26</v>
      </c>
      <c r="D125" s="18" t="s">
        <v>31</v>
      </c>
      <c r="E125" s="18" t="s">
        <v>32</v>
      </c>
      <c r="F125" s="19">
        <v>777</v>
      </c>
      <c r="G125" s="20" t="s">
        <v>482</v>
      </c>
      <c r="H125" s="27" t="s">
        <v>483</v>
      </c>
      <c r="I125" s="27" t="s">
        <v>28</v>
      </c>
      <c r="J125" s="29">
        <v>2023</v>
      </c>
      <c r="K125" s="23"/>
      <c r="L125" s="23">
        <v>46153</v>
      </c>
      <c r="M125" s="23">
        <f t="shared" si="10"/>
        <v>46335</v>
      </c>
      <c r="N125" s="24">
        <f t="shared" ca="1" si="11"/>
        <v>102</v>
      </c>
      <c r="O125" s="19" t="s">
        <v>484</v>
      </c>
      <c r="P125" s="19" t="s">
        <v>485</v>
      </c>
      <c r="Q125" s="18" t="s">
        <v>27</v>
      </c>
      <c r="R125" s="30" t="str">
        <f t="shared" ca="1" si="12"/>
        <v>Layak</v>
      </c>
    </row>
    <row r="126" spans="2:18" s="31" customFormat="1">
      <c r="B126" s="16">
        <f t="shared" si="9"/>
        <v>115</v>
      </c>
      <c r="C126" s="28" t="s">
        <v>26</v>
      </c>
      <c r="D126" s="18" t="s">
        <v>31</v>
      </c>
      <c r="E126" s="18" t="s">
        <v>32</v>
      </c>
      <c r="F126" s="19">
        <v>777</v>
      </c>
      <c r="G126" s="20" t="s">
        <v>486</v>
      </c>
      <c r="H126" s="27" t="s">
        <v>487</v>
      </c>
      <c r="I126" s="27" t="s">
        <v>28</v>
      </c>
      <c r="J126" s="29">
        <v>2023</v>
      </c>
      <c r="K126" s="23"/>
      <c r="L126" s="23">
        <v>46153</v>
      </c>
      <c r="M126" s="23">
        <f t="shared" si="10"/>
        <v>46335</v>
      </c>
      <c r="N126" s="24">
        <f t="shared" ca="1" si="11"/>
        <v>102</v>
      </c>
      <c r="O126" s="19" t="s">
        <v>488</v>
      </c>
      <c r="P126" s="19" t="s">
        <v>489</v>
      </c>
      <c r="Q126" s="18" t="s">
        <v>27</v>
      </c>
      <c r="R126" s="30" t="str">
        <f t="shared" ca="1" si="12"/>
        <v>Layak</v>
      </c>
    </row>
    <row r="127" spans="2:18" s="31" customFormat="1">
      <c r="B127" s="16">
        <f t="shared" si="9"/>
        <v>116</v>
      </c>
      <c r="C127" s="28" t="s">
        <v>26</v>
      </c>
      <c r="D127" s="18" t="s">
        <v>31</v>
      </c>
      <c r="E127" s="18" t="s">
        <v>32</v>
      </c>
      <c r="F127" s="19">
        <v>777</v>
      </c>
      <c r="G127" s="20" t="s">
        <v>490</v>
      </c>
      <c r="H127" s="27" t="s">
        <v>491</v>
      </c>
      <c r="I127" s="27" t="s">
        <v>28</v>
      </c>
      <c r="J127" s="29">
        <v>2023</v>
      </c>
      <c r="K127" s="23"/>
      <c r="L127" s="23">
        <v>46153</v>
      </c>
      <c r="M127" s="23">
        <f t="shared" si="10"/>
        <v>46335</v>
      </c>
      <c r="N127" s="24">
        <f t="shared" ca="1" si="11"/>
        <v>102</v>
      </c>
      <c r="O127" s="19" t="s">
        <v>492</v>
      </c>
      <c r="P127" s="19" t="s">
        <v>493</v>
      </c>
      <c r="Q127" s="18" t="s">
        <v>27</v>
      </c>
      <c r="R127" s="30" t="str">
        <f t="shared" ca="1" si="12"/>
        <v>Layak</v>
      </c>
    </row>
    <row r="128" spans="2:18" s="31" customFormat="1">
      <c r="B128" s="16">
        <f t="shared" si="9"/>
        <v>117</v>
      </c>
      <c r="C128" s="28" t="s">
        <v>26</v>
      </c>
      <c r="D128" s="18" t="s">
        <v>31</v>
      </c>
      <c r="E128" s="18" t="s">
        <v>32</v>
      </c>
      <c r="F128" s="19">
        <v>777</v>
      </c>
      <c r="G128" s="20" t="s">
        <v>494</v>
      </c>
      <c r="H128" s="27" t="s">
        <v>495</v>
      </c>
      <c r="I128" s="27" t="s">
        <v>28</v>
      </c>
      <c r="J128" s="29">
        <v>2023</v>
      </c>
      <c r="K128" s="23"/>
      <c r="L128" s="23">
        <v>46153</v>
      </c>
      <c r="M128" s="23">
        <f t="shared" si="10"/>
        <v>46335</v>
      </c>
      <c r="N128" s="24">
        <f t="shared" ca="1" si="11"/>
        <v>102</v>
      </c>
      <c r="O128" s="19" t="s">
        <v>496</v>
      </c>
      <c r="P128" s="19" t="s">
        <v>497</v>
      </c>
      <c r="Q128" s="18" t="s">
        <v>27</v>
      </c>
      <c r="R128" s="30" t="str">
        <f t="shared" ca="1" si="12"/>
        <v>Layak</v>
      </c>
    </row>
    <row r="129" spans="2:18" s="31" customFormat="1">
      <c r="B129" s="16">
        <f t="shared" si="9"/>
        <v>118</v>
      </c>
      <c r="C129" s="28" t="s">
        <v>26</v>
      </c>
      <c r="D129" s="18" t="s">
        <v>31</v>
      </c>
      <c r="E129" s="18" t="s">
        <v>32</v>
      </c>
      <c r="F129" s="19">
        <v>777</v>
      </c>
      <c r="G129" s="20" t="s">
        <v>498</v>
      </c>
      <c r="H129" s="27" t="s">
        <v>499</v>
      </c>
      <c r="I129" s="27" t="s">
        <v>28</v>
      </c>
      <c r="J129" s="29">
        <v>2023</v>
      </c>
      <c r="K129" s="23"/>
      <c r="L129" s="23">
        <v>46153</v>
      </c>
      <c r="M129" s="23">
        <f t="shared" si="10"/>
        <v>46335</v>
      </c>
      <c r="N129" s="24">
        <f t="shared" ca="1" si="11"/>
        <v>102</v>
      </c>
      <c r="O129" s="19" t="s">
        <v>500</v>
      </c>
      <c r="P129" s="19" t="s">
        <v>501</v>
      </c>
      <c r="Q129" s="18" t="s">
        <v>27</v>
      </c>
      <c r="R129" s="30" t="str">
        <f t="shared" ca="1" si="12"/>
        <v>Layak</v>
      </c>
    </row>
    <row r="130" spans="2:18" s="31" customFormat="1">
      <c r="B130" s="16">
        <f t="shared" si="9"/>
        <v>119</v>
      </c>
      <c r="C130" s="28" t="s">
        <v>26</v>
      </c>
      <c r="D130" s="18" t="s">
        <v>31</v>
      </c>
      <c r="E130" s="18" t="s">
        <v>32</v>
      </c>
      <c r="F130" s="19">
        <v>777</v>
      </c>
      <c r="G130" s="20" t="s">
        <v>502</v>
      </c>
      <c r="H130" s="27" t="s">
        <v>503</v>
      </c>
      <c r="I130" s="27" t="s">
        <v>28</v>
      </c>
      <c r="J130" s="29">
        <v>2023</v>
      </c>
      <c r="K130" s="23"/>
      <c r="L130" s="23">
        <v>46153</v>
      </c>
      <c r="M130" s="23">
        <f t="shared" si="10"/>
        <v>46335</v>
      </c>
      <c r="N130" s="24">
        <f t="shared" ca="1" si="11"/>
        <v>102</v>
      </c>
      <c r="O130" s="19" t="s">
        <v>504</v>
      </c>
      <c r="P130" s="19" t="s">
        <v>505</v>
      </c>
      <c r="Q130" s="18" t="s">
        <v>27</v>
      </c>
      <c r="R130" s="30" t="str">
        <f t="shared" ca="1" si="12"/>
        <v>Layak</v>
      </c>
    </row>
    <row r="131" spans="2:18" s="31" customFormat="1">
      <c r="B131" s="16">
        <f t="shared" si="9"/>
        <v>120</v>
      </c>
      <c r="C131" s="28" t="s">
        <v>26</v>
      </c>
      <c r="D131" s="18" t="s">
        <v>31</v>
      </c>
      <c r="E131" s="18" t="s">
        <v>32</v>
      </c>
      <c r="F131" s="19">
        <v>777</v>
      </c>
      <c r="G131" s="20" t="s">
        <v>506</v>
      </c>
      <c r="H131" s="27" t="s">
        <v>507</v>
      </c>
      <c r="I131" s="27" t="s">
        <v>28</v>
      </c>
      <c r="J131" s="29">
        <v>2023</v>
      </c>
      <c r="K131" s="23"/>
      <c r="L131" s="23">
        <v>46153</v>
      </c>
      <c r="M131" s="23">
        <f t="shared" si="10"/>
        <v>46335</v>
      </c>
      <c r="N131" s="24">
        <f t="shared" ca="1" si="11"/>
        <v>102</v>
      </c>
      <c r="O131" s="19" t="s">
        <v>508</v>
      </c>
      <c r="P131" s="19" t="s">
        <v>509</v>
      </c>
      <c r="Q131" s="18" t="s">
        <v>27</v>
      </c>
      <c r="R131" s="30" t="str">
        <f t="shared" ca="1" si="12"/>
        <v>Layak</v>
      </c>
    </row>
    <row r="132" spans="2:18" s="31" customFormat="1">
      <c r="B132" s="16">
        <f t="shared" si="9"/>
        <v>121</v>
      </c>
      <c r="C132" s="28" t="s">
        <v>26</v>
      </c>
      <c r="D132" s="18" t="s">
        <v>31</v>
      </c>
      <c r="E132" s="18" t="s">
        <v>32</v>
      </c>
      <c r="F132" s="19">
        <v>777</v>
      </c>
      <c r="G132" s="20" t="s">
        <v>510</v>
      </c>
      <c r="H132" s="27" t="s">
        <v>511</v>
      </c>
      <c r="I132" s="27" t="s">
        <v>28</v>
      </c>
      <c r="J132" s="29">
        <v>2023</v>
      </c>
      <c r="K132" s="23"/>
      <c r="L132" s="23">
        <v>46153</v>
      </c>
      <c r="M132" s="23">
        <f t="shared" si="10"/>
        <v>46335</v>
      </c>
      <c r="N132" s="24">
        <f t="shared" ca="1" si="11"/>
        <v>102</v>
      </c>
      <c r="O132" s="19" t="s">
        <v>512</v>
      </c>
      <c r="P132" s="19" t="s">
        <v>513</v>
      </c>
      <c r="Q132" s="18" t="s">
        <v>27</v>
      </c>
      <c r="R132" s="30" t="str">
        <f t="shared" ca="1" si="12"/>
        <v>Layak</v>
      </c>
    </row>
    <row r="133" spans="2:18" s="31" customFormat="1">
      <c r="B133" s="16">
        <f t="shared" si="9"/>
        <v>122</v>
      </c>
      <c r="C133" s="28" t="s">
        <v>26</v>
      </c>
      <c r="D133" s="18" t="s">
        <v>31</v>
      </c>
      <c r="E133" s="18" t="s">
        <v>32</v>
      </c>
      <c r="F133" s="19">
        <v>777</v>
      </c>
      <c r="G133" s="20" t="s">
        <v>514</v>
      </c>
      <c r="H133" s="27" t="s">
        <v>515</v>
      </c>
      <c r="I133" s="27" t="s">
        <v>28</v>
      </c>
      <c r="J133" s="29">
        <v>2023</v>
      </c>
      <c r="K133" s="23"/>
      <c r="L133" s="23">
        <v>46153</v>
      </c>
      <c r="M133" s="23">
        <f t="shared" si="10"/>
        <v>46335</v>
      </c>
      <c r="N133" s="24">
        <f t="shared" ca="1" si="11"/>
        <v>102</v>
      </c>
      <c r="O133" s="19" t="s">
        <v>516</v>
      </c>
      <c r="P133" s="19" t="s">
        <v>517</v>
      </c>
      <c r="Q133" s="18" t="s">
        <v>27</v>
      </c>
      <c r="R133" s="30" t="str">
        <f t="shared" ca="1" si="12"/>
        <v>Layak</v>
      </c>
    </row>
    <row r="134" spans="2:18" s="31" customFormat="1">
      <c r="B134" s="16">
        <f t="shared" si="9"/>
        <v>123</v>
      </c>
      <c r="C134" s="28" t="s">
        <v>26</v>
      </c>
      <c r="D134" s="18" t="s">
        <v>31</v>
      </c>
      <c r="E134" s="18" t="s">
        <v>32</v>
      </c>
      <c r="F134" s="19">
        <v>777</v>
      </c>
      <c r="G134" s="20" t="s">
        <v>518</v>
      </c>
      <c r="H134" s="27" t="s">
        <v>519</v>
      </c>
      <c r="I134" s="27" t="s">
        <v>28</v>
      </c>
      <c r="J134" s="29">
        <v>2023</v>
      </c>
      <c r="K134" s="23"/>
      <c r="L134" s="23">
        <v>46153</v>
      </c>
      <c r="M134" s="23">
        <f t="shared" si="10"/>
        <v>46335</v>
      </c>
      <c r="N134" s="24">
        <f t="shared" ca="1" si="11"/>
        <v>102</v>
      </c>
      <c r="O134" s="19" t="s">
        <v>520</v>
      </c>
      <c r="P134" s="19" t="s">
        <v>521</v>
      </c>
      <c r="Q134" s="18" t="s">
        <v>27</v>
      </c>
      <c r="R134" s="30" t="str">
        <f t="shared" ca="1" si="12"/>
        <v>Layak</v>
      </c>
    </row>
    <row r="135" spans="2:18" s="31" customFormat="1">
      <c r="B135" s="16">
        <f t="shared" si="9"/>
        <v>124</v>
      </c>
      <c r="C135" s="28" t="s">
        <v>26</v>
      </c>
      <c r="D135" s="18" t="s">
        <v>31</v>
      </c>
      <c r="E135" s="18" t="s">
        <v>32</v>
      </c>
      <c r="F135" s="19">
        <v>777</v>
      </c>
      <c r="G135" s="20" t="s">
        <v>522</v>
      </c>
      <c r="H135" s="27" t="s">
        <v>523</v>
      </c>
      <c r="I135" s="27" t="s">
        <v>28</v>
      </c>
      <c r="J135" s="29">
        <v>2023</v>
      </c>
      <c r="K135" s="23"/>
      <c r="L135" s="23">
        <v>46153</v>
      </c>
      <c r="M135" s="23">
        <f t="shared" si="10"/>
        <v>46335</v>
      </c>
      <c r="N135" s="24">
        <f t="shared" ref="N135:N178" ca="1" si="13">_xlfn.DAYS(M135,TODAY())</f>
        <v>102</v>
      </c>
      <c r="O135" s="19" t="s">
        <v>524</v>
      </c>
      <c r="P135" s="19" t="s">
        <v>525</v>
      </c>
      <c r="Q135" s="18" t="s">
        <v>27</v>
      </c>
      <c r="R135" s="30" t="str">
        <f t="shared" ca="1" si="12"/>
        <v>Layak</v>
      </c>
    </row>
    <row r="136" spans="2:18" s="31" customFormat="1">
      <c r="B136" s="16">
        <f t="shared" ref="B136:B178" si="14">ROW()-ROW($B$11)</f>
        <v>125</v>
      </c>
      <c r="C136" s="28" t="s">
        <v>26</v>
      </c>
      <c r="D136" s="18" t="s">
        <v>31</v>
      </c>
      <c r="E136" s="18" t="s">
        <v>32</v>
      </c>
      <c r="F136" s="19">
        <v>777</v>
      </c>
      <c r="G136" s="20" t="s">
        <v>526</v>
      </c>
      <c r="H136" s="27" t="s">
        <v>527</v>
      </c>
      <c r="I136" s="27" t="s">
        <v>28</v>
      </c>
      <c r="J136" s="29">
        <v>2023</v>
      </c>
      <c r="K136" s="23"/>
      <c r="L136" s="23">
        <v>46153</v>
      </c>
      <c r="M136" s="23">
        <f t="shared" si="10"/>
        <v>46335</v>
      </c>
      <c r="N136" s="24">
        <f t="shared" ca="1" si="13"/>
        <v>102</v>
      </c>
      <c r="O136" s="19" t="s">
        <v>528</v>
      </c>
      <c r="P136" s="19" t="s">
        <v>529</v>
      </c>
      <c r="Q136" s="18" t="s">
        <v>27</v>
      </c>
      <c r="R136" s="30" t="str">
        <f t="shared" ca="1" si="12"/>
        <v>Layak</v>
      </c>
    </row>
    <row r="137" spans="2:18" s="31" customFormat="1">
      <c r="B137" s="16">
        <f t="shared" si="14"/>
        <v>126</v>
      </c>
      <c r="C137" s="28" t="s">
        <v>26</v>
      </c>
      <c r="D137" s="18" t="s">
        <v>31</v>
      </c>
      <c r="E137" s="18" t="s">
        <v>32</v>
      </c>
      <c r="F137" s="19">
        <v>777</v>
      </c>
      <c r="G137" s="20" t="s">
        <v>530</v>
      </c>
      <c r="H137" s="27" t="s">
        <v>531</v>
      </c>
      <c r="I137" s="27" t="s">
        <v>28</v>
      </c>
      <c r="J137" s="29">
        <v>2023</v>
      </c>
      <c r="K137" s="23"/>
      <c r="L137" s="23">
        <v>46153</v>
      </c>
      <c r="M137" s="23">
        <f t="shared" si="10"/>
        <v>46335</v>
      </c>
      <c r="N137" s="24">
        <f t="shared" ca="1" si="13"/>
        <v>102</v>
      </c>
      <c r="O137" s="19" t="s">
        <v>532</v>
      </c>
      <c r="P137" s="19" t="s">
        <v>533</v>
      </c>
      <c r="Q137" s="18" t="s">
        <v>27</v>
      </c>
      <c r="R137" s="30" t="str">
        <f t="shared" ca="1" si="12"/>
        <v>Layak</v>
      </c>
    </row>
    <row r="138" spans="2:18" s="31" customFormat="1">
      <c r="B138" s="16">
        <f t="shared" si="14"/>
        <v>127</v>
      </c>
      <c r="C138" s="28" t="s">
        <v>26</v>
      </c>
      <c r="D138" s="18" t="s">
        <v>31</v>
      </c>
      <c r="E138" s="18" t="s">
        <v>32</v>
      </c>
      <c r="F138" s="19">
        <v>777</v>
      </c>
      <c r="G138" s="20" t="s">
        <v>534</v>
      </c>
      <c r="H138" s="27" t="s">
        <v>535</v>
      </c>
      <c r="I138" s="27" t="s">
        <v>28</v>
      </c>
      <c r="J138" s="29">
        <v>2023</v>
      </c>
      <c r="K138" s="23"/>
      <c r="L138" s="23">
        <v>46153</v>
      </c>
      <c r="M138" s="23">
        <f t="shared" si="10"/>
        <v>46335</v>
      </c>
      <c r="N138" s="24">
        <f t="shared" ca="1" si="13"/>
        <v>102</v>
      </c>
      <c r="O138" s="19" t="s">
        <v>536</v>
      </c>
      <c r="P138" s="19" t="s">
        <v>537</v>
      </c>
      <c r="Q138" s="18" t="s">
        <v>27</v>
      </c>
      <c r="R138" s="30" t="str">
        <f t="shared" ca="1" si="12"/>
        <v>Layak</v>
      </c>
    </row>
    <row r="139" spans="2:18" s="31" customFormat="1">
      <c r="B139" s="16">
        <f t="shared" si="14"/>
        <v>128</v>
      </c>
      <c r="C139" s="28" t="s">
        <v>26</v>
      </c>
      <c r="D139" s="18" t="s">
        <v>31</v>
      </c>
      <c r="E139" s="18" t="s">
        <v>32</v>
      </c>
      <c r="F139" s="19">
        <v>777</v>
      </c>
      <c r="G139" s="20" t="s">
        <v>538</v>
      </c>
      <c r="H139" s="27" t="s">
        <v>539</v>
      </c>
      <c r="I139" s="27" t="s">
        <v>28</v>
      </c>
      <c r="J139" s="29">
        <v>2023</v>
      </c>
      <c r="K139" s="23"/>
      <c r="L139" s="23">
        <v>46153</v>
      </c>
      <c r="M139" s="23">
        <f t="shared" si="10"/>
        <v>46335</v>
      </c>
      <c r="N139" s="24">
        <f t="shared" ca="1" si="13"/>
        <v>102</v>
      </c>
      <c r="O139" s="19" t="s">
        <v>540</v>
      </c>
      <c r="P139" s="19" t="s">
        <v>541</v>
      </c>
      <c r="Q139" s="18" t="s">
        <v>27</v>
      </c>
      <c r="R139" s="30" t="str">
        <f t="shared" ca="1" si="12"/>
        <v>Layak</v>
      </c>
    </row>
    <row r="140" spans="2:18" s="31" customFormat="1">
      <c r="B140" s="16">
        <f t="shared" si="14"/>
        <v>129</v>
      </c>
      <c r="C140" s="28" t="s">
        <v>26</v>
      </c>
      <c r="D140" s="18" t="s">
        <v>31</v>
      </c>
      <c r="E140" s="18" t="s">
        <v>32</v>
      </c>
      <c r="F140" s="19">
        <v>777</v>
      </c>
      <c r="G140" s="20" t="s">
        <v>542</v>
      </c>
      <c r="H140" s="27" t="s">
        <v>543</v>
      </c>
      <c r="I140" s="27" t="s">
        <v>28</v>
      </c>
      <c r="J140" s="29">
        <v>2023</v>
      </c>
      <c r="K140" s="23"/>
      <c r="L140" s="23">
        <v>46153</v>
      </c>
      <c r="M140" s="23">
        <f t="shared" si="10"/>
        <v>46335</v>
      </c>
      <c r="N140" s="24">
        <f t="shared" ca="1" si="13"/>
        <v>102</v>
      </c>
      <c r="O140" s="19" t="s">
        <v>544</v>
      </c>
      <c r="P140" s="19" t="s">
        <v>545</v>
      </c>
      <c r="Q140" s="18" t="s">
        <v>27</v>
      </c>
      <c r="R140" s="30" t="str">
        <f t="shared" ca="1" si="12"/>
        <v>Layak</v>
      </c>
    </row>
    <row r="141" spans="2:18" s="31" customFormat="1">
      <c r="B141" s="16">
        <f t="shared" si="14"/>
        <v>130</v>
      </c>
      <c r="C141" s="28" t="s">
        <v>26</v>
      </c>
      <c r="D141" s="18" t="s">
        <v>31</v>
      </c>
      <c r="E141" s="18" t="s">
        <v>32</v>
      </c>
      <c r="F141" s="19">
        <v>777</v>
      </c>
      <c r="G141" s="20" t="s">
        <v>546</v>
      </c>
      <c r="H141" s="27" t="s">
        <v>547</v>
      </c>
      <c r="I141" s="27" t="s">
        <v>28</v>
      </c>
      <c r="J141" s="29">
        <v>2023</v>
      </c>
      <c r="K141" s="23"/>
      <c r="L141" s="23">
        <v>46153</v>
      </c>
      <c r="M141" s="23">
        <f t="shared" si="10"/>
        <v>46335</v>
      </c>
      <c r="N141" s="24">
        <f t="shared" ca="1" si="13"/>
        <v>102</v>
      </c>
      <c r="O141" s="19" t="s">
        <v>548</v>
      </c>
      <c r="P141" s="19" t="s">
        <v>549</v>
      </c>
      <c r="Q141" s="18" t="s">
        <v>27</v>
      </c>
      <c r="R141" s="30" t="str">
        <f t="shared" ca="1" si="12"/>
        <v>Layak</v>
      </c>
    </row>
    <row r="142" spans="2:18" s="31" customFormat="1">
      <c r="B142" s="16">
        <f t="shared" si="14"/>
        <v>131</v>
      </c>
      <c r="C142" s="28" t="s">
        <v>26</v>
      </c>
      <c r="D142" s="18" t="s">
        <v>31</v>
      </c>
      <c r="E142" s="18" t="s">
        <v>32</v>
      </c>
      <c r="F142" s="19">
        <v>777</v>
      </c>
      <c r="G142" s="20" t="s">
        <v>550</v>
      </c>
      <c r="H142" s="27" t="s">
        <v>551</v>
      </c>
      <c r="I142" s="27" t="s">
        <v>28</v>
      </c>
      <c r="J142" s="29">
        <v>2023</v>
      </c>
      <c r="K142" s="23"/>
      <c r="L142" s="23">
        <v>46153</v>
      </c>
      <c r="M142" s="23">
        <f t="shared" si="10"/>
        <v>46335</v>
      </c>
      <c r="N142" s="24">
        <f t="shared" ca="1" si="13"/>
        <v>102</v>
      </c>
      <c r="O142" s="19" t="s">
        <v>552</v>
      </c>
      <c r="P142" s="19" t="s">
        <v>553</v>
      </c>
      <c r="Q142" s="18" t="s">
        <v>27</v>
      </c>
      <c r="R142" s="30" t="str">
        <f t="shared" ca="1" si="12"/>
        <v>Layak</v>
      </c>
    </row>
    <row r="143" spans="2:18" s="31" customFormat="1">
      <c r="B143" s="16">
        <f t="shared" si="14"/>
        <v>132</v>
      </c>
      <c r="C143" s="28" t="s">
        <v>26</v>
      </c>
      <c r="D143" s="18" t="s">
        <v>31</v>
      </c>
      <c r="E143" s="18" t="s">
        <v>32</v>
      </c>
      <c r="F143" s="19">
        <v>777</v>
      </c>
      <c r="G143" s="20" t="s">
        <v>554</v>
      </c>
      <c r="H143" s="27" t="s">
        <v>555</v>
      </c>
      <c r="I143" s="27" t="s">
        <v>28</v>
      </c>
      <c r="J143" s="29">
        <v>2023</v>
      </c>
      <c r="K143" s="23"/>
      <c r="L143" s="23">
        <v>46153</v>
      </c>
      <c r="M143" s="23">
        <f t="shared" ref="M143:M178" si="15">L143+182</f>
        <v>46335</v>
      </c>
      <c r="N143" s="24">
        <f t="shared" ca="1" si="13"/>
        <v>102</v>
      </c>
      <c r="O143" s="19" t="s">
        <v>556</v>
      </c>
      <c r="P143" s="19" t="s">
        <v>557</v>
      </c>
      <c r="Q143" s="18" t="s">
        <v>27</v>
      </c>
      <c r="R143" s="30" t="str">
        <f t="shared" ca="1" si="12"/>
        <v>Layak</v>
      </c>
    </row>
    <row r="144" spans="2:18" s="31" customFormat="1">
      <c r="B144" s="16">
        <f t="shared" si="14"/>
        <v>133</v>
      </c>
      <c r="C144" s="28" t="s">
        <v>26</v>
      </c>
      <c r="D144" s="18" t="s">
        <v>31</v>
      </c>
      <c r="E144" s="18" t="s">
        <v>32</v>
      </c>
      <c r="F144" s="19">
        <v>777</v>
      </c>
      <c r="G144" s="20" t="s">
        <v>558</v>
      </c>
      <c r="H144" s="27" t="s">
        <v>559</v>
      </c>
      <c r="I144" s="27" t="s">
        <v>28</v>
      </c>
      <c r="J144" s="29">
        <v>2023</v>
      </c>
      <c r="K144" s="23"/>
      <c r="L144" s="23">
        <v>46153</v>
      </c>
      <c r="M144" s="23">
        <f t="shared" si="15"/>
        <v>46335</v>
      </c>
      <c r="N144" s="24">
        <f t="shared" ca="1" si="13"/>
        <v>102</v>
      </c>
      <c r="O144" s="19" t="s">
        <v>560</v>
      </c>
      <c r="P144" s="19" t="s">
        <v>561</v>
      </c>
      <c r="Q144" s="18" t="s">
        <v>27</v>
      </c>
      <c r="R144" s="30" t="str">
        <f t="shared" ca="1" si="12"/>
        <v>Layak</v>
      </c>
    </row>
    <row r="145" spans="2:18" s="31" customFormat="1">
      <c r="B145" s="16">
        <f t="shared" si="14"/>
        <v>134</v>
      </c>
      <c r="C145" s="28" t="s">
        <v>26</v>
      </c>
      <c r="D145" s="18" t="s">
        <v>31</v>
      </c>
      <c r="E145" s="18" t="s">
        <v>32</v>
      </c>
      <c r="F145" s="19">
        <v>777</v>
      </c>
      <c r="G145" s="20" t="s">
        <v>562</v>
      </c>
      <c r="H145" s="27" t="s">
        <v>563</v>
      </c>
      <c r="I145" s="27" t="s">
        <v>28</v>
      </c>
      <c r="J145" s="29">
        <v>2023</v>
      </c>
      <c r="K145" s="23"/>
      <c r="L145" s="23">
        <v>46153</v>
      </c>
      <c r="M145" s="23">
        <f t="shared" si="15"/>
        <v>46335</v>
      </c>
      <c r="N145" s="24">
        <f t="shared" ca="1" si="13"/>
        <v>102</v>
      </c>
      <c r="O145" s="19" t="s">
        <v>564</v>
      </c>
      <c r="P145" s="19" t="s">
        <v>565</v>
      </c>
      <c r="Q145" s="18" t="s">
        <v>27</v>
      </c>
      <c r="R145" s="30" t="str">
        <f t="shared" ca="1" si="12"/>
        <v>Layak</v>
      </c>
    </row>
    <row r="146" spans="2:18" s="31" customFormat="1">
      <c r="B146" s="16">
        <f t="shared" si="14"/>
        <v>135</v>
      </c>
      <c r="C146" s="28" t="s">
        <v>26</v>
      </c>
      <c r="D146" s="18" t="s">
        <v>31</v>
      </c>
      <c r="E146" s="18" t="s">
        <v>32</v>
      </c>
      <c r="F146" s="19">
        <v>777</v>
      </c>
      <c r="G146" s="20" t="s">
        <v>566</v>
      </c>
      <c r="H146" s="27" t="s">
        <v>567</v>
      </c>
      <c r="I146" s="27" t="s">
        <v>28</v>
      </c>
      <c r="J146" s="29">
        <v>2023</v>
      </c>
      <c r="K146" s="23"/>
      <c r="L146" s="23">
        <v>46153</v>
      </c>
      <c r="M146" s="23">
        <f t="shared" si="15"/>
        <v>46335</v>
      </c>
      <c r="N146" s="24">
        <f t="shared" ca="1" si="13"/>
        <v>102</v>
      </c>
      <c r="O146" s="19" t="s">
        <v>568</v>
      </c>
      <c r="P146" s="19" t="s">
        <v>569</v>
      </c>
      <c r="Q146" s="18" t="s">
        <v>27</v>
      </c>
      <c r="R146" s="30" t="str">
        <f t="shared" ca="1" si="12"/>
        <v>Layak</v>
      </c>
    </row>
    <row r="147" spans="2:18" s="31" customFormat="1">
      <c r="B147" s="16">
        <f t="shared" si="14"/>
        <v>136</v>
      </c>
      <c r="C147" s="28" t="s">
        <v>26</v>
      </c>
      <c r="D147" s="18" t="s">
        <v>31</v>
      </c>
      <c r="E147" s="18" t="s">
        <v>32</v>
      </c>
      <c r="F147" s="19">
        <v>777</v>
      </c>
      <c r="G147" s="20" t="s">
        <v>570</v>
      </c>
      <c r="H147" s="27" t="s">
        <v>571</v>
      </c>
      <c r="I147" s="27" t="s">
        <v>28</v>
      </c>
      <c r="J147" s="29">
        <v>2023</v>
      </c>
      <c r="K147" s="23"/>
      <c r="L147" s="23">
        <v>46153</v>
      </c>
      <c r="M147" s="23">
        <f t="shared" si="15"/>
        <v>46335</v>
      </c>
      <c r="N147" s="24">
        <f t="shared" ca="1" si="13"/>
        <v>102</v>
      </c>
      <c r="O147" s="19" t="s">
        <v>572</v>
      </c>
      <c r="P147" s="19" t="s">
        <v>573</v>
      </c>
      <c r="Q147" s="18" t="s">
        <v>27</v>
      </c>
      <c r="R147" s="30" t="str">
        <f t="shared" ca="1" si="12"/>
        <v>Layak</v>
      </c>
    </row>
    <row r="148" spans="2:18" s="31" customFormat="1">
      <c r="B148" s="16">
        <f t="shared" si="14"/>
        <v>137</v>
      </c>
      <c r="C148" s="28" t="s">
        <v>26</v>
      </c>
      <c r="D148" s="18" t="s">
        <v>31</v>
      </c>
      <c r="E148" s="18" t="s">
        <v>32</v>
      </c>
      <c r="F148" s="19">
        <v>777</v>
      </c>
      <c r="G148" s="20" t="s">
        <v>574</v>
      </c>
      <c r="H148" s="27" t="s">
        <v>575</v>
      </c>
      <c r="I148" s="27" t="s">
        <v>28</v>
      </c>
      <c r="J148" s="29">
        <v>2023</v>
      </c>
      <c r="K148" s="23"/>
      <c r="L148" s="23">
        <v>46153</v>
      </c>
      <c r="M148" s="23">
        <f t="shared" si="15"/>
        <v>46335</v>
      </c>
      <c r="N148" s="24">
        <f t="shared" ca="1" si="13"/>
        <v>102</v>
      </c>
      <c r="O148" s="19" t="s">
        <v>576</v>
      </c>
      <c r="P148" s="19" t="s">
        <v>577</v>
      </c>
      <c r="Q148" s="18" t="s">
        <v>27</v>
      </c>
      <c r="R148" s="30" t="str">
        <f t="shared" ca="1" si="12"/>
        <v>Layak</v>
      </c>
    </row>
    <row r="149" spans="2:18" s="31" customFormat="1">
      <c r="B149" s="16">
        <f t="shared" si="14"/>
        <v>138</v>
      </c>
      <c r="C149" s="28" t="s">
        <v>26</v>
      </c>
      <c r="D149" s="18" t="s">
        <v>31</v>
      </c>
      <c r="E149" s="18" t="s">
        <v>32</v>
      </c>
      <c r="F149" s="19">
        <v>777</v>
      </c>
      <c r="G149" s="20" t="s">
        <v>578</v>
      </c>
      <c r="H149" s="27" t="s">
        <v>579</v>
      </c>
      <c r="I149" s="27" t="s">
        <v>28</v>
      </c>
      <c r="J149" s="29">
        <v>2023</v>
      </c>
      <c r="K149" s="23"/>
      <c r="L149" s="23">
        <v>46153</v>
      </c>
      <c r="M149" s="23">
        <f t="shared" si="15"/>
        <v>46335</v>
      </c>
      <c r="N149" s="24">
        <f t="shared" ca="1" si="13"/>
        <v>102</v>
      </c>
      <c r="O149" s="19" t="s">
        <v>580</v>
      </c>
      <c r="P149" s="19" t="s">
        <v>581</v>
      </c>
      <c r="Q149" s="18" t="s">
        <v>27</v>
      </c>
      <c r="R149" s="30" t="str">
        <f t="shared" ca="1" si="12"/>
        <v>Layak</v>
      </c>
    </row>
    <row r="150" spans="2:18" s="31" customFormat="1">
      <c r="B150" s="16">
        <f t="shared" si="14"/>
        <v>139</v>
      </c>
      <c r="C150" s="28" t="s">
        <v>26</v>
      </c>
      <c r="D150" s="18" t="s">
        <v>31</v>
      </c>
      <c r="E150" s="18" t="s">
        <v>32</v>
      </c>
      <c r="F150" s="19">
        <v>777</v>
      </c>
      <c r="G150" s="20" t="s">
        <v>582</v>
      </c>
      <c r="H150" s="27" t="s">
        <v>583</v>
      </c>
      <c r="I150" s="27" t="s">
        <v>28</v>
      </c>
      <c r="J150" s="29">
        <v>2023</v>
      </c>
      <c r="K150" s="23"/>
      <c r="L150" s="23">
        <v>46153</v>
      </c>
      <c r="M150" s="23">
        <f t="shared" si="15"/>
        <v>46335</v>
      </c>
      <c r="N150" s="24">
        <f t="shared" ca="1" si="13"/>
        <v>102</v>
      </c>
      <c r="O150" s="19" t="s">
        <v>584</v>
      </c>
      <c r="P150" s="19" t="s">
        <v>585</v>
      </c>
      <c r="Q150" s="18" t="s">
        <v>27</v>
      </c>
      <c r="R150" s="30" t="str">
        <f t="shared" ca="1" si="12"/>
        <v>Layak</v>
      </c>
    </row>
    <row r="151" spans="2:18" s="31" customFormat="1">
      <c r="B151" s="16">
        <f t="shared" si="14"/>
        <v>140</v>
      </c>
      <c r="C151" s="28" t="s">
        <v>26</v>
      </c>
      <c r="D151" s="18" t="s">
        <v>31</v>
      </c>
      <c r="E151" s="18" t="s">
        <v>32</v>
      </c>
      <c r="F151" s="19">
        <v>777</v>
      </c>
      <c r="G151" s="20" t="s">
        <v>586</v>
      </c>
      <c r="H151" s="27" t="s">
        <v>587</v>
      </c>
      <c r="I151" s="27" t="s">
        <v>28</v>
      </c>
      <c r="J151" s="29">
        <v>2024</v>
      </c>
      <c r="K151" s="23"/>
      <c r="L151" s="23">
        <v>46153</v>
      </c>
      <c r="M151" s="23">
        <f t="shared" si="15"/>
        <v>46335</v>
      </c>
      <c r="N151" s="24">
        <f t="shared" ca="1" si="13"/>
        <v>102</v>
      </c>
      <c r="O151" s="19" t="s">
        <v>588</v>
      </c>
      <c r="P151" s="19" t="s">
        <v>589</v>
      </c>
      <c r="Q151" s="18" t="s">
        <v>27</v>
      </c>
      <c r="R151" s="30" t="str">
        <f t="shared" ca="1" si="12"/>
        <v>Layak</v>
      </c>
    </row>
    <row r="152" spans="2:18" s="31" customFormat="1">
      <c r="B152" s="16">
        <f t="shared" si="14"/>
        <v>141</v>
      </c>
      <c r="C152" s="28" t="s">
        <v>26</v>
      </c>
      <c r="D152" s="18" t="s">
        <v>31</v>
      </c>
      <c r="E152" s="18" t="s">
        <v>32</v>
      </c>
      <c r="F152" s="19">
        <v>777</v>
      </c>
      <c r="G152" s="20" t="s">
        <v>590</v>
      </c>
      <c r="H152" s="27" t="s">
        <v>591</v>
      </c>
      <c r="I152" s="27" t="s">
        <v>28</v>
      </c>
      <c r="J152" s="29">
        <v>2023</v>
      </c>
      <c r="K152" s="23"/>
      <c r="L152" s="23">
        <v>46153</v>
      </c>
      <c r="M152" s="23">
        <f t="shared" si="15"/>
        <v>46335</v>
      </c>
      <c r="N152" s="24">
        <f t="shared" ca="1" si="13"/>
        <v>102</v>
      </c>
      <c r="O152" s="19" t="s">
        <v>592</v>
      </c>
      <c r="P152" s="19" t="s">
        <v>593</v>
      </c>
      <c r="Q152" s="18" t="s">
        <v>27</v>
      </c>
      <c r="R152" s="30" t="str">
        <f t="shared" ca="1" si="12"/>
        <v>Layak</v>
      </c>
    </row>
    <row r="153" spans="2:18" s="31" customFormat="1">
      <c r="B153" s="16">
        <f t="shared" si="14"/>
        <v>142</v>
      </c>
      <c r="C153" s="28" t="s">
        <v>26</v>
      </c>
      <c r="D153" s="18" t="s">
        <v>31</v>
      </c>
      <c r="E153" s="18" t="s">
        <v>32</v>
      </c>
      <c r="F153" s="19">
        <v>777</v>
      </c>
      <c r="G153" s="20" t="s">
        <v>594</v>
      </c>
      <c r="H153" s="27" t="s">
        <v>595</v>
      </c>
      <c r="I153" s="27" t="s">
        <v>28</v>
      </c>
      <c r="J153" s="29">
        <v>2024</v>
      </c>
      <c r="K153" s="23"/>
      <c r="L153" s="23">
        <v>46153</v>
      </c>
      <c r="M153" s="23">
        <f t="shared" si="15"/>
        <v>46335</v>
      </c>
      <c r="N153" s="24">
        <f t="shared" ca="1" si="13"/>
        <v>102</v>
      </c>
      <c r="O153" s="19" t="s">
        <v>596</v>
      </c>
      <c r="P153" s="19" t="s">
        <v>597</v>
      </c>
      <c r="Q153" s="18" t="s">
        <v>27</v>
      </c>
      <c r="R153" s="30" t="str">
        <f t="shared" ca="1" si="12"/>
        <v>Layak</v>
      </c>
    </row>
    <row r="154" spans="2:18" s="31" customFormat="1">
      <c r="B154" s="16">
        <f t="shared" si="14"/>
        <v>143</v>
      </c>
      <c r="C154" s="28" t="s">
        <v>26</v>
      </c>
      <c r="D154" s="18" t="s">
        <v>31</v>
      </c>
      <c r="E154" s="18" t="s">
        <v>32</v>
      </c>
      <c r="F154" s="19">
        <v>777</v>
      </c>
      <c r="G154" s="20" t="s">
        <v>598</v>
      </c>
      <c r="H154" s="27" t="s">
        <v>599</v>
      </c>
      <c r="I154" s="27" t="s">
        <v>28</v>
      </c>
      <c r="J154" s="29">
        <v>2024</v>
      </c>
      <c r="K154" s="23"/>
      <c r="L154" s="23">
        <v>46153</v>
      </c>
      <c r="M154" s="23">
        <f t="shared" si="15"/>
        <v>46335</v>
      </c>
      <c r="N154" s="24">
        <f t="shared" ca="1" si="13"/>
        <v>102</v>
      </c>
      <c r="O154" s="19" t="s">
        <v>600</v>
      </c>
      <c r="P154" s="19" t="s">
        <v>601</v>
      </c>
      <c r="Q154" s="18" t="s">
        <v>27</v>
      </c>
      <c r="R154" s="30" t="str">
        <f t="shared" ca="1" si="12"/>
        <v>Layak</v>
      </c>
    </row>
    <row r="155" spans="2:18" s="31" customFormat="1">
      <c r="B155" s="16">
        <f t="shared" si="14"/>
        <v>144</v>
      </c>
      <c r="C155" s="28" t="s">
        <v>26</v>
      </c>
      <c r="D155" s="18" t="s">
        <v>31</v>
      </c>
      <c r="E155" s="18" t="s">
        <v>32</v>
      </c>
      <c r="F155" s="19">
        <v>777</v>
      </c>
      <c r="G155" s="20" t="s">
        <v>602</v>
      </c>
      <c r="H155" s="27" t="s">
        <v>603</v>
      </c>
      <c r="I155" s="27" t="s">
        <v>28</v>
      </c>
      <c r="J155" s="29">
        <v>2024</v>
      </c>
      <c r="K155" s="23"/>
      <c r="L155" s="23">
        <v>46153</v>
      </c>
      <c r="M155" s="23">
        <f t="shared" si="15"/>
        <v>46335</v>
      </c>
      <c r="N155" s="24">
        <f t="shared" ca="1" si="13"/>
        <v>102</v>
      </c>
      <c r="O155" s="19" t="s">
        <v>604</v>
      </c>
      <c r="P155" s="19" t="s">
        <v>605</v>
      </c>
      <c r="Q155" s="18" t="s">
        <v>27</v>
      </c>
      <c r="R155" s="30" t="str">
        <f t="shared" ref="R155:R178" ca="1" si="16">IF(N155&gt;15,"Layak",IF(N155&gt;0,"Segera Lakukan Pemeriksaan","Tidak Layak"))</f>
        <v>Layak</v>
      </c>
    </row>
    <row r="156" spans="2:18" s="31" customFormat="1">
      <c r="B156" s="16">
        <f t="shared" si="14"/>
        <v>145</v>
      </c>
      <c r="C156" s="28" t="s">
        <v>26</v>
      </c>
      <c r="D156" s="18" t="s">
        <v>31</v>
      </c>
      <c r="E156" s="18" t="s">
        <v>32</v>
      </c>
      <c r="F156" s="19">
        <v>777</v>
      </c>
      <c r="G156" s="20" t="s">
        <v>606</v>
      </c>
      <c r="H156" s="27" t="s">
        <v>607</v>
      </c>
      <c r="I156" s="27" t="s">
        <v>28</v>
      </c>
      <c r="J156" s="29">
        <v>2024</v>
      </c>
      <c r="K156" s="23"/>
      <c r="L156" s="23">
        <v>46153</v>
      </c>
      <c r="M156" s="23">
        <f t="shared" si="15"/>
        <v>46335</v>
      </c>
      <c r="N156" s="24">
        <f t="shared" ca="1" si="13"/>
        <v>102</v>
      </c>
      <c r="O156" s="19" t="s">
        <v>608</v>
      </c>
      <c r="P156" s="19" t="s">
        <v>609</v>
      </c>
      <c r="Q156" s="18" t="s">
        <v>27</v>
      </c>
      <c r="R156" s="30" t="str">
        <f t="shared" ca="1" si="16"/>
        <v>Layak</v>
      </c>
    </row>
    <row r="157" spans="2:18" s="31" customFormat="1">
      <c r="B157" s="16">
        <f t="shared" si="14"/>
        <v>146</v>
      </c>
      <c r="C157" s="28" t="s">
        <v>26</v>
      </c>
      <c r="D157" s="18" t="s">
        <v>31</v>
      </c>
      <c r="E157" s="18" t="s">
        <v>32</v>
      </c>
      <c r="F157" s="19">
        <v>777</v>
      </c>
      <c r="G157" s="20" t="s">
        <v>610</v>
      </c>
      <c r="H157" s="27" t="s">
        <v>611</v>
      </c>
      <c r="I157" s="27" t="s">
        <v>28</v>
      </c>
      <c r="J157" s="29">
        <v>2024</v>
      </c>
      <c r="K157" s="23"/>
      <c r="L157" s="23">
        <v>46153</v>
      </c>
      <c r="M157" s="23">
        <f t="shared" si="15"/>
        <v>46335</v>
      </c>
      <c r="N157" s="24">
        <f t="shared" ca="1" si="13"/>
        <v>102</v>
      </c>
      <c r="O157" s="19" t="s">
        <v>612</v>
      </c>
      <c r="P157" s="19" t="s">
        <v>613</v>
      </c>
      <c r="Q157" s="18" t="s">
        <v>27</v>
      </c>
      <c r="R157" s="30" t="str">
        <f t="shared" ca="1" si="16"/>
        <v>Layak</v>
      </c>
    </row>
    <row r="158" spans="2:18" s="31" customFormat="1">
      <c r="B158" s="16">
        <f t="shared" si="14"/>
        <v>147</v>
      </c>
      <c r="C158" s="28" t="s">
        <v>26</v>
      </c>
      <c r="D158" s="18" t="s">
        <v>31</v>
      </c>
      <c r="E158" s="18" t="s">
        <v>32</v>
      </c>
      <c r="F158" s="19">
        <v>777</v>
      </c>
      <c r="G158" s="20" t="s">
        <v>614</v>
      </c>
      <c r="H158" s="27" t="s">
        <v>615</v>
      </c>
      <c r="I158" s="27" t="s">
        <v>28</v>
      </c>
      <c r="J158" s="29">
        <v>2024</v>
      </c>
      <c r="K158" s="23"/>
      <c r="L158" s="23">
        <v>46153</v>
      </c>
      <c r="M158" s="23">
        <f t="shared" si="15"/>
        <v>46335</v>
      </c>
      <c r="N158" s="24">
        <f t="shared" ca="1" si="13"/>
        <v>102</v>
      </c>
      <c r="O158" s="19" t="s">
        <v>616</v>
      </c>
      <c r="P158" s="19" t="s">
        <v>617</v>
      </c>
      <c r="Q158" s="18" t="s">
        <v>27</v>
      </c>
      <c r="R158" s="30" t="str">
        <f t="shared" ca="1" si="16"/>
        <v>Layak</v>
      </c>
    </row>
    <row r="159" spans="2:18" s="31" customFormat="1">
      <c r="B159" s="16">
        <f t="shared" si="14"/>
        <v>148</v>
      </c>
      <c r="C159" s="28" t="s">
        <v>26</v>
      </c>
      <c r="D159" s="18" t="s">
        <v>31</v>
      </c>
      <c r="E159" s="18" t="s">
        <v>32</v>
      </c>
      <c r="F159" s="19">
        <v>777</v>
      </c>
      <c r="G159" s="20" t="s">
        <v>618</v>
      </c>
      <c r="H159" s="27" t="s">
        <v>619</v>
      </c>
      <c r="I159" s="27" t="s">
        <v>28</v>
      </c>
      <c r="J159" s="29">
        <v>2024</v>
      </c>
      <c r="K159" s="23"/>
      <c r="L159" s="23">
        <v>46153</v>
      </c>
      <c r="M159" s="23">
        <f t="shared" si="15"/>
        <v>46335</v>
      </c>
      <c r="N159" s="24">
        <f t="shared" ca="1" si="13"/>
        <v>102</v>
      </c>
      <c r="O159" s="19" t="s">
        <v>620</v>
      </c>
      <c r="P159" s="19" t="s">
        <v>621</v>
      </c>
      <c r="Q159" s="18" t="s">
        <v>27</v>
      </c>
      <c r="R159" s="30" t="str">
        <f t="shared" ca="1" si="16"/>
        <v>Layak</v>
      </c>
    </row>
    <row r="160" spans="2:18" s="31" customFormat="1">
      <c r="B160" s="16">
        <f t="shared" si="14"/>
        <v>149</v>
      </c>
      <c r="C160" s="28" t="s">
        <v>26</v>
      </c>
      <c r="D160" s="18" t="s">
        <v>31</v>
      </c>
      <c r="E160" s="18" t="s">
        <v>32</v>
      </c>
      <c r="F160" s="19">
        <v>777</v>
      </c>
      <c r="G160" s="20" t="s">
        <v>622</v>
      </c>
      <c r="H160" s="27" t="s">
        <v>623</v>
      </c>
      <c r="I160" s="27" t="s">
        <v>28</v>
      </c>
      <c r="J160" s="29">
        <v>2024</v>
      </c>
      <c r="K160" s="23"/>
      <c r="L160" s="23">
        <v>46153</v>
      </c>
      <c r="M160" s="23">
        <f t="shared" si="15"/>
        <v>46335</v>
      </c>
      <c r="N160" s="24">
        <f t="shared" ca="1" si="13"/>
        <v>102</v>
      </c>
      <c r="O160" s="19" t="s">
        <v>624</v>
      </c>
      <c r="P160" s="19" t="s">
        <v>625</v>
      </c>
      <c r="Q160" s="18" t="s">
        <v>27</v>
      </c>
      <c r="R160" s="30" t="str">
        <f t="shared" ca="1" si="16"/>
        <v>Layak</v>
      </c>
    </row>
    <row r="161" spans="2:18" s="31" customFormat="1">
      <c r="B161" s="16">
        <f t="shared" si="14"/>
        <v>150</v>
      </c>
      <c r="C161" s="28" t="s">
        <v>26</v>
      </c>
      <c r="D161" s="18" t="s">
        <v>31</v>
      </c>
      <c r="E161" s="18" t="s">
        <v>32</v>
      </c>
      <c r="F161" s="19" t="s">
        <v>626</v>
      </c>
      <c r="G161" s="20" t="s">
        <v>627</v>
      </c>
      <c r="H161" s="27" t="s">
        <v>628</v>
      </c>
      <c r="I161" s="27" t="s">
        <v>28</v>
      </c>
      <c r="J161" s="29">
        <v>2019</v>
      </c>
      <c r="K161" s="23"/>
      <c r="L161" s="23">
        <v>46153</v>
      </c>
      <c r="M161" s="23">
        <f t="shared" si="15"/>
        <v>46335</v>
      </c>
      <c r="N161" s="24">
        <f t="shared" ca="1" si="13"/>
        <v>102</v>
      </c>
      <c r="O161" s="19" t="s">
        <v>629</v>
      </c>
      <c r="P161" s="19" t="s">
        <v>630</v>
      </c>
      <c r="Q161" s="18" t="s">
        <v>27</v>
      </c>
      <c r="R161" s="30" t="str">
        <f t="shared" ca="1" si="16"/>
        <v>Layak</v>
      </c>
    </row>
    <row r="162" spans="2:18" s="31" customFormat="1">
      <c r="B162" s="16">
        <f t="shared" si="14"/>
        <v>151</v>
      </c>
      <c r="C162" s="28" t="s">
        <v>26</v>
      </c>
      <c r="D162" s="18" t="s">
        <v>31</v>
      </c>
      <c r="E162" s="18" t="s">
        <v>32</v>
      </c>
      <c r="F162" s="19" t="s">
        <v>626</v>
      </c>
      <c r="G162" s="20" t="s">
        <v>631</v>
      </c>
      <c r="H162" s="27" t="s">
        <v>632</v>
      </c>
      <c r="I162" s="27" t="s">
        <v>28</v>
      </c>
      <c r="J162" s="29">
        <v>2019</v>
      </c>
      <c r="K162" s="23"/>
      <c r="L162" s="23">
        <v>46153</v>
      </c>
      <c r="M162" s="23">
        <f t="shared" si="15"/>
        <v>46335</v>
      </c>
      <c r="N162" s="24">
        <f t="shared" ca="1" si="13"/>
        <v>102</v>
      </c>
      <c r="O162" s="19" t="s">
        <v>633</v>
      </c>
      <c r="P162" s="19" t="s">
        <v>634</v>
      </c>
      <c r="Q162" s="18" t="s">
        <v>27</v>
      </c>
      <c r="R162" s="30" t="str">
        <f t="shared" ca="1" si="16"/>
        <v>Layak</v>
      </c>
    </row>
    <row r="163" spans="2:18" s="31" customFormat="1">
      <c r="B163" s="16">
        <f t="shared" si="14"/>
        <v>152</v>
      </c>
      <c r="C163" s="28" t="s">
        <v>26</v>
      </c>
      <c r="D163" s="18" t="s">
        <v>31</v>
      </c>
      <c r="E163" s="18" t="s">
        <v>32</v>
      </c>
      <c r="F163" s="19">
        <v>777</v>
      </c>
      <c r="G163" s="20" t="s">
        <v>635</v>
      </c>
      <c r="H163" s="27" t="s">
        <v>636</v>
      </c>
      <c r="I163" s="27" t="s">
        <v>28</v>
      </c>
      <c r="J163" s="29">
        <v>2022</v>
      </c>
      <c r="K163" s="23"/>
      <c r="L163" s="23">
        <v>46153</v>
      </c>
      <c r="M163" s="23">
        <f t="shared" si="15"/>
        <v>46335</v>
      </c>
      <c r="N163" s="24">
        <f t="shared" ca="1" si="13"/>
        <v>102</v>
      </c>
      <c r="O163" s="19" t="s">
        <v>637</v>
      </c>
      <c r="P163" s="19" t="s">
        <v>638</v>
      </c>
      <c r="Q163" s="18" t="s">
        <v>27</v>
      </c>
      <c r="R163" s="30" t="str">
        <f t="shared" ca="1" si="16"/>
        <v>Layak</v>
      </c>
    </row>
    <row r="164" spans="2:18" s="31" customFormat="1">
      <c r="B164" s="16">
        <f t="shared" si="14"/>
        <v>153</v>
      </c>
      <c r="C164" s="28" t="s">
        <v>26</v>
      </c>
      <c r="D164" s="18" t="s">
        <v>31</v>
      </c>
      <c r="E164" s="18" t="s">
        <v>32</v>
      </c>
      <c r="F164" s="19">
        <v>777</v>
      </c>
      <c r="G164" s="20" t="s">
        <v>639</v>
      </c>
      <c r="H164" s="27" t="s">
        <v>640</v>
      </c>
      <c r="I164" s="27" t="s">
        <v>28</v>
      </c>
      <c r="J164" s="29">
        <v>2022</v>
      </c>
      <c r="K164" s="23"/>
      <c r="L164" s="23">
        <v>46153</v>
      </c>
      <c r="M164" s="23">
        <f t="shared" si="15"/>
        <v>46335</v>
      </c>
      <c r="N164" s="24">
        <f t="shared" ca="1" si="13"/>
        <v>102</v>
      </c>
      <c r="O164" s="19" t="s">
        <v>641</v>
      </c>
      <c r="P164" s="19" t="s">
        <v>642</v>
      </c>
      <c r="Q164" s="18" t="s">
        <v>27</v>
      </c>
      <c r="R164" s="30" t="str">
        <f t="shared" ca="1" si="16"/>
        <v>Layak</v>
      </c>
    </row>
    <row r="165" spans="2:18" s="31" customFormat="1">
      <c r="B165" s="16">
        <f t="shared" si="14"/>
        <v>154</v>
      </c>
      <c r="C165" s="28" t="s">
        <v>26</v>
      </c>
      <c r="D165" s="18" t="s">
        <v>31</v>
      </c>
      <c r="E165" s="18" t="s">
        <v>32</v>
      </c>
      <c r="F165" s="19" t="s">
        <v>626</v>
      </c>
      <c r="G165" s="20" t="s">
        <v>643</v>
      </c>
      <c r="H165" s="27" t="s">
        <v>644</v>
      </c>
      <c r="I165" s="27" t="s">
        <v>28</v>
      </c>
      <c r="J165" s="29">
        <v>2019</v>
      </c>
      <c r="K165" s="23"/>
      <c r="L165" s="23">
        <v>46153</v>
      </c>
      <c r="M165" s="23">
        <f t="shared" si="15"/>
        <v>46335</v>
      </c>
      <c r="N165" s="24">
        <f t="shared" ca="1" si="13"/>
        <v>102</v>
      </c>
      <c r="O165" s="19" t="s">
        <v>645</v>
      </c>
      <c r="P165" s="19" t="s">
        <v>646</v>
      </c>
      <c r="Q165" s="18" t="s">
        <v>27</v>
      </c>
      <c r="R165" s="30" t="str">
        <f t="shared" ca="1" si="16"/>
        <v>Layak</v>
      </c>
    </row>
    <row r="166" spans="2:18" s="31" customFormat="1">
      <c r="B166" s="16">
        <f t="shared" si="14"/>
        <v>155</v>
      </c>
      <c r="C166" s="28" t="s">
        <v>26</v>
      </c>
      <c r="D166" s="18" t="s">
        <v>31</v>
      </c>
      <c r="E166" s="18" t="s">
        <v>32</v>
      </c>
      <c r="F166" s="19" t="s">
        <v>626</v>
      </c>
      <c r="G166" s="20" t="s">
        <v>647</v>
      </c>
      <c r="H166" s="27" t="s">
        <v>648</v>
      </c>
      <c r="I166" s="27" t="s">
        <v>28</v>
      </c>
      <c r="J166" s="29">
        <v>2019</v>
      </c>
      <c r="K166" s="23"/>
      <c r="L166" s="23">
        <v>46153</v>
      </c>
      <c r="M166" s="23">
        <f t="shared" si="15"/>
        <v>46335</v>
      </c>
      <c r="N166" s="24">
        <f t="shared" ca="1" si="13"/>
        <v>102</v>
      </c>
      <c r="O166" s="19" t="s">
        <v>649</v>
      </c>
      <c r="P166" s="19" t="s">
        <v>650</v>
      </c>
      <c r="Q166" s="18" t="s">
        <v>27</v>
      </c>
      <c r="R166" s="30" t="str">
        <f t="shared" ca="1" si="16"/>
        <v>Layak</v>
      </c>
    </row>
    <row r="167" spans="2:18" s="31" customFormat="1">
      <c r="B167" s="16">
        <f t="shared" si="14"/>
        <v>156</v>
      </c>
      <c r="C167" s="28" t="s">
        <v>26</v>
      </c>
      <c r="D167" s="18" t="s">
        <v>31</v>
      </c>
      <c r="E167" s="18" t="s">
        <v>32</v>
      </c>
      <c r="F167" s="19" t="s">
        <v>626</v>
      </c>
      <c r="G167" s="20" t="s">
        <v>651</v>
      </c>
      <c r="H167" s="27" t="s">
        <v>652</v>
      </c>
      <c r="I167" s="27" t="s">
        <v>28</v>
      </c>
      <c r="J167" s="29">
        <v>2019</v>
      </c>
      <c r="K167" s="23"/>
      <c r="L167" s="23">
        <v>46153</v>
      </c>
      <c r="M167" s="23">
        <f t="shared" si="15"/>
        <v>46335</v>
      </c>
      <c r="N167" s="24">
        <f t="shared" ca="1" si="13"/>
        <v>102</v>
      </c>
      <c r="O167" s="19" t="s">
        <v>653</v>
      </c>
      <c r="P167" s="19" t="s">
        <v>654</v>
      </c>
      <c r="Q167" s="18" t="s">
        <v>27</v>
      </c>
      <c r="R167" s="30" t="str">
        <f t="shared" ca="1" si="16"/>
        <v>Layak</v>
      </c>
    </row>
    <row r="168" spans="2:18" s="31" customFormat="1">
      <c r="B168" s="16">
        <f t="shared" si="14"/>
        <v>157</v>
      </c>
      <c r="C168" s="28" t="s">
        <v>26</v>
      </c>
      <c r="D168" s="18" t="s">
        <v>31</v>
      </c>
      <c r="E168" s="18" t="s">
        <v>32</v>
      </c>
      <c r="F168" s="19" t="s">
        <v>626</v>
      </c>
      <c r="G168" s="20" t="s">
        <v>655</v>
      </c>
      <c r="H168" s="27" t="s">
        <v>656</v>
      </c>
      <c r="I168" s="27" t="s">
        <v>28</v>
      </c>
      <c r="J168" s="29">
        <v>2019</v>
      </c>
      <c r="K168" s="23"/>
      <c r="L168" s="23">
        <v>46153</v>
      </c>
      <c r="M168" s="23">
        <f t="shared" si="15"/>
        <v>46335</v>
      </c>
      <c r="N168" s="24">
        <f t="shared" ca="1" si="13"/>
        <v>102</v>
      </c>
      <c r="O168" s="19" t="s">
        <v>657</v>
      </c>
      <c r="P168" s="19" t="s">
        <v>658</v>
      </c>
      <c r="Q168" s="18" t="s">
        <v>27</v>
      </c>
      <c r="R168" s="30" t="str">
        <f t="shared" ca="1" si="16"/>
        <v>Layak</v>
      </c>
    </row>
    <row r="169" spans="2:18" s="31" customFormat="1">
      <c r="B169" s="16">
        <f t="shared" si="14"/>
        <v>158</v>
      </c>
      <c r="C169" s="28" t="s">
        <v>26</v>
      </c>
      <c r="D169" s="18" t="s">
        <v>31</v>
      </c>
      <c r="E169" s="18" t="s">
        <v>32</v>
      </c>
      <c r="F169" s="19">
        <v>777</v>
      </c>
      <c r="G169" s="20" t="s">
        <v>659</v>
      </c>
      <c r="H169" s="27" t="s">
        <v>660</v>
      </c>
      <c r="I169" s="27" t="s">
        <v>28</v>
      </c>
      <c r="J169" s="29">
        <v>2024</v>
      </c>
      <c r="K169" s="23"/>
      <c r="L169" s="23">
        <v>46153</v>
      </c>
      <c r="M169" s="23">
        <f t="shared" si="15"/>
        <v>46335</v>
      </c>
      <c r="N169" s="24">
        <f t="shared" ca="1" si="13"/>
        <v>102</v>
      </c>
      <c r="O169" s="19" t="s">
        <v>661</v>
      </c>
      <c r="P169" s="19" t="s">
        <v>662</v>
      </c>
      <c r="Q169" s="18" t="s">
        <v>27</v>
      </c>
      <c r="R169" s="30" t="str">
        <f t="shared" ca="1" si="16"/>
        <v>Layak</v>
      </c>
    </row>
    <row r="170" spans="2:18" s="31" customFormat="1">
      <c r="B170" s="16">
        <f t="shared" si="14"/>
        <v>159</v>
      </c>
      <c r="C170" s="28" t="s">
        <v>26</v>
      </c>
      <c r="D170" s="18" t="s">
        <v>31</v>
      </c>
      <c r="E170" s="18" t="s">
        <v>32</v>
      </c>
      <c r="F170" s="19">
        <v>777</v>
      </c>
      <c r="G170" s="20" t="s">
        <v>663</v>
      </c>
      <c r="H170" s="27" t="s">
        <v>664</v>
      </c>
      <c r="I170" s="27" t="s">
        <v>28</v>
      </c>
      <c r="J170" s="29">
        <v>2023</v>
      </c>
      <c r="K170" s="23"/>
      <c r="L170" s="23">
        <v>46153</v>
      </c>
      <c r="M170" s="23">
        <f t="shared" si="15"/>
        <v>46335</v>
      </c>
      <c r="N170" s="24">
        <f t="shared" ca="1" si="13"/>
        <v>102</v>
      </c>
      <c r="O170" s="19" t="s">
        <v>665</v>
      </c>
      <c r="P170" s="19" t="s">
        <v>666</v>
      </c>
      <c r="Q170" s="18" t="s">
        <v>27</v>
      </c>
      <c r="R170" s="30" t="str">
        <f t="shared" ca="1" si="16"/>
        <v>Layak</v>
      </c>
    </row>
    <row r="171" spans="2:18" s="31" customFormat="1">
      <c r="B171" s="16">
        <f t="shared" si="14"/>
        <v>160</v>
      </c>
      <c r="C171" s="28" t="s">
        <v>26</v>
      </c>
      <c r="D171" s="18" t="s">
        <v>31</v>
      </c>
      <c r="E171" s="18" t="s">
        <v>32</v>
      </c>
      <c r="F171" s="19">
        <v>777</v>
      </c>
      <c r="G171" s="20" t="s">
        <v>667</v>
      </c>
      <c r="H171" s="27" t="s">
        <v>668</v>
      </c>
      <c r="I171" s="27" t="s">
        <v>28</v>
      </c>
      <c r="J171" s="29">
        <v>2022</v>
      </c>
      <c r="K171" s="23"/>
      <c r="L171" s="23">
        <v>46153</v>
      </c>
      <c r="M171" s="23">
        <f t="shared" si="15"/>
        <v>46335</v>
      </c>
      <c r="N171" s="24">
        <f t="shared" ca="1" si="13"/>
        <v>102</v>
      </c>
      <c r="O171" s="19" t="s">
        <v>669</v>
      </c>
      <c r="P171" s="19" t="s">
        <v>670</v>
      </c>
      <c r="Q171" s="18" t="s">
        <v>27</v>
      </c>
      <c r="R171" s="30" t="str">
        <f t="shared" ca="1" si="16"/>
        <v>Layak</v>
      </c>
    </row>
    <row r="172" spans="2:18" s="31" customFormat="1">
      <c r="B172" s="16">
        <f t="shared" si="14"/>
        <v>161</v>
      </c>
      <c r="C172" s="28" t="s">
        <v>26</v>
      </c>
      <c r="D172" s="18" t="s">
        <v>31</v>
      </c>
      <c r="E172" s="18" t="s">
        <v>32</v>
      </c>
      <c r="F172" s="19">
        <v>777</v>
      </c>
      <c r="G172" s="20" t="s">
        <v>671</v>
      </c>
      <c r="H172" s="27" t="s">
        <v>672</v>
      </c>
      <c r="I172" s="27" t="s">
        <v>28</v>
      </c>
      <c r="J172" s="29">
        <v>2022</v>
      </c>
      <c r="K172" s="23"/>
      <c r="L172" s="23">
        <v>46153</v>
      </c>
      <c r="M172" s="23">
        <f t="shared" si="15"/>
        <v>46335</v>
      </c>
      <c r="N172" s="24">
        <f t="shared" ca="1" si="13"/>
        <v>102</v>
      </c>
      <c r="O172" s="19" t="s">
        <v>673</v>
      </c>
      <c r="P172" s="19" t="s">
        <v>674</v>
      </c>
      <c r="Q172" s="18" t="s">
        <v>27</v>
      </c>
      <c r="R172" s="30" t="str">
        <f t="shared" ca="1" si="16"/>
        <v>Layak</v>
      </c>
    </row>
    <row r="173" spans="2:18" s="31" customFormat="1">
      <c r="B173" s="16">
        <f t="shared" si="14"/>
        <v>162</v>
      </c>
      <c r="C173" s="28" t="s">
        <v>26</v>
      </c>
      <c r="D173" s="18" t="s">
        <v>31</v>
      </c>
      <c r="E173" s="18" t="s">
        <v>32</v>
      </c>
      <c r="F173" s="19">
        <v>777</v>
      </c>
      <c r="G173" s="20" t="s">
        <v>675</v>
      </c>
      <c r="H173" s="27" t="s">
        <v>676</v>
      </c>
      <c r="I173" s="27" t="s">
        <v>28</v>
      </c>
      <c r="J173" s="29">
        <v>2022</v>
      </c>
      <c r="K173" s="23"/>
      <c r="L173" s="23">
        <v>46153</v>
      </c>
      <c r="M173" s="23">
        <f t="shared" si="15"/>
        <v>46335</v>
      </c>
      <c r="N173" s="24">
        <f t="shared" ca="1" si="13"/>
        <v>102</v>
      </c>
      <c r="O173" s="19" t="s">
        <v>677</v>
      </c>
      <c r="P173" s="19" t="s">
        <v>666</v>
      </c>
      <c r="Q173" s="18" t="s">
        <v>27</v>
      </c>
      <c r="R173" s="30" t="str">
        <f t="shared" ca="1" si="16"/>
        <v>Layak</v>
      </c>
    </row>
    <row r="174" spans="2:18" s="31" customFormat="1">
      <c r="B174" s="16">
        <f t="shared" si="14"/>
        <v>163</v>
      </c>
      <c r="C174" s="28" t="s">
        <v>26</v>
      </c>
      <c r="D174" s="18" t="s">
        <v>31</v>
      </c>
      <c r="E174" s="18" t="s">
        <v>32</v>
      </c>
      <c r="F174" s="19">
        <v>777</v>
      </c>
      <c r="G174" s="20" t="s">
        <v>678</v>
      </c>
      <c r="H174" s="27" t="s">
        <v>679</v>
      </c>
      <c r="I174" s="27" t="s">
        <v>28</v>
      </c>
      <c r="J174" s="29">
        <v>2022</v>
      </c>
      <c r="K174" s="23"/>
      <c r="L174" s="23">
        <v>46153</v>
      </c>
      <c r="M174" s="23">
        <f t="shared" si="15"/>
        <v>46335</v>
      </c>
      <c r="N174" s="24">
        <f t="shared" ca="1" si="13"/>
        <v>102</v>
      </c>
      <c r="O174" s="19" t="s">
        <v>680</v>
      </c>
      <c r="P174" s="19" t="s">
        <v>681</v>
      </c>
      <c r="Q174" s="18" t="s">
        <v>27</v>
      </c>
      <c r="R174" s="30" t="str">
        <f t="shared" ca="1" si="16"/>
        <v>Layak</v>
      </c>
    </row>
    <row r="175" spans="2:18" s="31" customFormat="1">
      <c r="B175" s="16">
        <f t="shared" si="14"/>
        <v>164</v>
      </c>
      <c r="C175" s="28" t="s">
        <v>26</v>
      </c>
      <c r="D175" s="18" t="s">
        <v>31</v>
      </c>
      <c r="E175" s="18" t="s">
        <v>32</v>
      </c>
      <c r="F175" s="19" t="s">
        <v>682</v>
      </c>
      <c r="G175" s="20" t="s">
        <v>683</v>
      </c>
      <c r="H175" s="27" t="s">
        <v>684</v>
      </c>
      <c r="I175" s="27" t="s">
        <v>28</v>
      </c>
      <c r="J175" s="29">
        <v>2013</v>
      </c>
      <c r="K175" s="23"/>
      <c r="L175" s="23">
        <v>46153</v>
      </c>
      <c r="M175" s="23">
        <f t="shared" si="15"/>
        <v>46335</v>
      </c>
      <c r="N175" s="24">
        <f t="shared" ca="1" si="13"/>
        <v>102</v>
      </c>
      <c r="O175" s="19" t="s">
        <v>685</v>
      </c>
      <c r="P175" s="19" t="s">
        <v>686</v>
      </c>
      <c r="Q175" s="18" t="s">
        <v>27</v>
      </c>
      <c r="R175" s="30" t="str">
        <f t="shared" ca="1" si="16"/>
        <v>Layak</v>
      </c>
    </row>
    <row r="176" spans="2:18" s="31" customFormat="1">
      <c r="B176" s="16">
        <f t="shared" si="14"/>
        <v>165</v>
      </c>
      <c r="C176" s="28" t="s">
        <v>26</v>
      </c>
      <c r="D176" s="18" t="s">
        <v>31</v>
      </c>
      <c r="E176" s="18" t="s">
        <v>32</v>
      </c>
      <c r="F176" s="19" t="s">
        <v>682</v>
      </c>
      <c r="G176" s="20" t="s">
        <v>687</v>
      </c>
      <c r="H176" s="27" t="s">
        <v>688</v>
      </c>
      <c r="I176" s="27" t="s">
        <v>28</v>
      </c>
      <c r="J176" s="29">
        <v>2013</v>
      </c>
      <c r="K176" s="23"/>
      <c r="L176" s="23">
        <v>46153</v>
      </c>
      <c r="M176" s="23">
        <f t="shared" si="15"/>
        <v>46335</v>
      </c>
      <c r="N176" s="24">
        <f t="shared" ca="1" si="13"/>
        <v>102</v>
      </c>
      <c r="O176" s="19" t="s">
        <v>689</v>
      </c>
      <c r="P176" s="19" t="s">
        <v>690</v>
      </c>
      <c r="Q176" s="18" t="s">
        <v>27</v>
      </c>
      <c r="R176" s="30" t="str">
        <f t="shared" ca="1" si="16"/>
        <v>Layak</v>
      </c>
    </row>
    <row r="177" spans="2:18" s="31" customFormat="1">
      <c r="B177" s="16">
        <f t="shared" si="14"/>
        <v>166</v>
      </c>
      <c r="C177" s="28" t="s">
        <v>26</v>
      </c>
      <c r="D177" s="18" t="s">
        <v>31</v>
      </c>
      <c r="E177" s="18" t="s">
        <v>32</v>
      </c>
      <c r="F177" s="19" t="s">
        <v>682</v>
      </c>
      <c r="G177" s="20" t="s">
        <v>691</v>
      </c>
      <c r="H177" s="27" t="s">
        <v>692</v>
      </c>
      <c r="I177" s="27" t="s">
        <v>28</v>
      </c>
      <c r="J177" s="29">
        <v>2013</v>
      </c>
      <c r="K177" s="23"/>
      <c r="L177" s="23">
        <v>46156</v>
      </c>
      <c r="M177" s="23">
        <f t="shared" si="15"/>
        <v>46338</v>
      </c>
      <c r="N177" s="24">
        <f t="shared" ca="1" si="13"/>
        <v>105</v>
      </c>
      <c r="O177" s="19" t="s">
        <v>693</v>
      </c>
      <c r="P177" s="19" t="s">
        <v>694</v>
      </c>
      <c r="Q177" s="18" t="s">
        <v>27</v>
      </c>
      <c r="R177" s="30" t="str">
        <f t="shared" ca="1" si="16"/>
        <v>Layak</v>
      </c>
    </row>
    <row r="178" spans="2:18" s="31" customFormat="1">
      <c r="B178" s="16">
        <f t="shared" si="14"/>
        <v>167</v>
      </c>
      <c r="C178" s="28" t="s">
        <v>26</v>
      </c>
      <c r="D178" s="18" t="s">
        <v>31</v>
      </c>
      <c r="E178" s="18" t="s">
        <v>32</v>
      </c>
      <c r="F178" s="19" t="s">
        <v>682</v>
      </c>
      <c r="G178" s="20" t="s">
        <v>695</v>
      </c>
      <c r="H178" s="27" t="s">
        <v>696</v>
      </c>
      <c r="I178" s="27" t="s">
        <v>28</v>
      </c>
      <c r="J178" s="29">
        <v>2013</v>
      </c>
      <c r="K178" s="23"/>
      <c r="L178" s="23">
        <v>46156</v>
      </c>
      <c r="M178" s="23">
        <f t="shared" si="15"/>
        <v>46338</v>
      </c>
      <c r="N178" s="24">
        <f t="shared" ca="1" si="13"/>
        <v>105</v>
      </c>
      <c r="O178" s="19" t="s">
        <v>697</v>
      </c>
      <c r="P178" s="19" t="s">
        <v>698</v>
      </c>
      <c r="Q178" s="18" t="s">
        <v>27</v>
      </c>
      <c r="R178" s="30" t="str">
        <f t="shared" ca="1" si="16"/>
        <v>Layak</v>
      </c>
    </row>
    <row r="179" spans="2:18">
      <c r="B179" s="16">
        <f t="shared" ref="B179:B185" si="17">ROW()-ROW($B$11)</f>
        <v>168</v>
      </c>
      <c r="C179" s="17" t="s">
        <v>26</v>
      </c>
      <c r="D179" s="18" t="s">
        <v>699</v>
      </c>
      <c r="E179" s="18" t="s">
        <v>32</v>
      </c>
      <c r="F179" s="19">
        <v>773</v>
      </c>
      <c r="G179" s="20" t="s">
        <v>700</v>
      </c>
      <c r="H179" s="21" t="s">
        <v>701</v>
      </c>
      <c r="I179" s="21" t="s">
        <v>28</v>
      </c>
      <c r="J179" s="22">
        <v>2020</v>
      </c>
      <c r="K179" s="23"/>
      <c r="L179" s="23">
        <v>45873</v>
      </c>
      <c r="M179" s="23">
        <f t="shared" ref="M179:M180" si="18">L179+182</f>
        <v>46055</v>
      </c>
      <c r="N179" s="24">
        <f t="shared" ref="N179:N184" ca="1" si="19">_xlfn.DAYS(M179,TODAY())</f>
        <v>-178</v>
      </c>
      <c r="O179" s="19" t="s">
        <v>702</v>
      </c>
      <c r="P179" s="19" t="s">
        <v>703</v>
      </c>
      <c r="Q179" s="25" t="s">
        <v>27</v>
      </c>
      <c r="R179" s="26" t="str">
        <f t="shared" ref="R179:R188" ca="1" si="20">IF(N179&gt;15,"Layak",IF(N179&gt;0,"Segera Lakukan Pemeriksaan","Tidak Layak"))</f>
        <v>Tidak Layak</v>
      </c>
    </row>
    <row r="180" spans="2:18">
      <c r="B180" s="16">
        <f t="shared" si="17"/>
        <v>169</v>
      </c>
      <c r="C180" s="17" t="s">
        <v>26</v>
      </c>
      <c r="D180" s="18" t="s">
        <v>699</v>
      </c>
      <c r="E180" s="18" t="s">
        <v>32</v>
      </c>
      <c r="F180" s="19">
        <v>773</v>
      </c>
      <c r="G180" s="20" t="s">
        <v>704</v>
      </c>
      <c r="H180" s="21" t="s">
        <v>705</v>
      </c>
      <c r="I180" s="21" t="s">
        <v>28</v>
      </c>
      <c r="J180" s="22">
        <v>2022</v>
      </c>
      <c r="K180" s="23"/>
      <c r="L180" s="23">
        <v>45873</v>
      </c>
      <c r="M180" s="23">
        <f t="shared" si="18"/>
        <v>46055</v>
      </c>
      <c r="N180" s="24">
        <f t="shared" ca="1" si="19"/>
        <v>-178</v>
      </c>
      <c r="O180" s="19" t="s">
        <v>706</v>
      </c>
      <c r="P180" s="19" t="s">
        <v>707</v>
      </c>
      <c r="Q180" s="25" t="s">
        <v>27</v>
      </c>
      <c r="R180" s="26" t="str">
        <f t="shared" ca="1" si="20"/>
        <v>Tidak Layak</v>
      </c>
    </row>
    <row r="181" spans="2:18" s="31" customFormat="1">
      <c r="B181" s="16">
        <f t="shared" si="17"/>
        <v>170</v>
      </c>
      <c r="C181" s="28" t="s">
        <v>26</v>
      </c>
      <c r="D181" s="33" t="s">
        <v>31</v>
      </c>
      <c r="E181" s="44" t="s">
        <v>29</v>
      </c>
      <c r="F181" s="43">
        <v>777</v>
      </c>
      <c r="G181" s="20" t="s">
        <v>708</v>
      </c>
      <c r="H181" s="27" t="s">
        <v>709</v>
      </c>
      <c r="I181" s="27" t="s">
        <v>28</v>
      </c>
      <c r="J181" s="29">
        <v>2025</v>
      </c>
      <c r="K181" s="23"/>
      <c r="L181" s="23">
        <v>46157</v>
      </c>
      <c r="M181" s="23">
        <f t="shared" ref="M181:M205" si="21">L181+182</f>
        <v>46339</v>
      </c>
      <c r="N181" s="24">
        <f t="shared" ca="1" si="19"/>
        <v>106</v>
      </c>
      <c r="O181" s="19" t="s">
        <v>710</v>
      </c>
      <c r="P181" s="32" t="s">
        <v>711</v>
      </c>
      <c r="Q181" s="18" t="s">
        <v>27</v>
      </c>
      <c r="R181" s="30" t="str">
        <f t="shared" ca="1" si="20"/>
        <v>Layak</v>
      </c>
    </row>
    <row r="182" spans="2:18" s="31" customFormat="1">
      <c r="B182" s="16">
        <f t="shared" si="17"/>
        <v>171</v>
      </c>
      <c r="C182" s="28" t="s">
        <v>26</v>
      </c>
      <c r="D182" s="33" t="s">
        <v>31</v>
      </c>
      <c r="E182" s="44" t="s">
        <v>29</v>
      </c>
      <c r="F182" s="43">
        <v>777</v>
      </c>
      <c r="G182" s="20" t="s">
        <v>712</v>
      </c>
      <c r="H182" s="27" t="s">
        <v>713</v>
      </c>
      <c r="I182" s="27" t="s">
        <v>28</v>
      </c>
      <c r="J182" s="29">
        <v>2025</v>
      </c>
      <c r="K182" s="23"/>
      <c r="L182" s="23">
        <v>46157</v>
      </c>
      <c r="M182" s="23">
        <f t="shared" si="21"/>
        <v>46339</v>
      </c>
      <c r="N182" s="24">
        <f t="shared" ca="1" si="19"/>
        <v>106</v>
      </c>
      <c r="O182" s="19" t="s">
        <v>714</v>
      </c>
      <c r="P182" s="32" t="s">
        <v>715</v>
      </c>
      <c r="Q182" s="18" t="s">
        <v>27</v>
      </c>
      <c r="R182" s="30" t="str">
        <f t="shared" ca="1" si="20"/>
        <v>Layak</v>
      </c>
    </row>
    <row r="183" spans="2:18" s="31" customFormat="1">
      <c r="B183" s="16">
        <f t="shared" si="17"/>
        <v>172</v>
      </c>
      <c r="C183" s="28" t="s">
        <v>26</v>
      </c>
      <c r="D183" s="33" t="s">
        <v>31</v>
      </c>
      <c r="E183" s="44" t="s">
        <v>29</v>
      </c>
      <c r="F183" s="43">
        <v>777</v>
      </c>
      <c r="G183" s="20" t="s">
        <v>716</v>
      </c>
      <c r="H183" s="27" t="s">
        <v>717</v>
      </c>
      <c r="I183" s="27" t="s">
        <v>28</v>
      </c>
      <c r="J183" s="29">
        <v>2025</v>
      </c>
      <c r="K183" s="23"/>
      <c r="L183" s="23">
        <v>46157</v>
      </c>
      <c r="M183" s="23">
        <f t="shared" si="21"/>
        <v>46339</v>
      </c>
      <c r="N183" s="24">
        <f t="shared" ca="1" si="19"/>
        <v>106</v>
      </c>
      <c r="O183" s="19" t="s">
        <v>718</v>
      </c>
      <c r="P183" s="32" t="s">
        <v>719</v>
      </c>
      <c r="Q183" s="18" t="s">
        <v>27</v>
      </c>
      <c r="R183" s="30" t="str">
        <f t="shared" ca="1" si="20"/>
        <v>Layak</v>
      </c>
    </row>
    <row r="184" spans="2:18" s="31" customFormat="1">
      <c r="B184" s="16">
        <f t="shared" si="17"/>
        <v>173</v>
      </c>
      <c r="C184" s="28" t="s">
        <v>26</v>
      </c>
      <c r="D184" s="33" t="s">
        <v>31</v>
      </c>
      <c r="E184" s="44" t="s">
        <v>29</v>
      </c>
      <c r="F184" s="43">
        <v>777</v>
      </c>
      <c r="G184" s="20" t="s">
        <v>720</v>
      </c>
      <c r="H184" s="27" t="s">
        <v>721</v>
      </c>
      <c r="I184" s="27" t="s">
        <v>28</v>
      </c>
      <c r="J184" s="29">
        <v>2025</v>
      </c>
      <c r="K184" s="23"/>
      <c r="L184" s="23">
        <v>46157</v>
      </c>
      <c r="M184" s="23">
        <f t="shared" si="21"/>
        <v>46339</v>
      </c>
      <c r="N184" s="24">
        <f t="shared" ca="1" si="19"/>
        <v>106</v>
      </c>
      <c r="O184" s="19" t="s">
        <v>722</v>
      </c>
      <c r="P184" s="32" t="s">
        <v>723</v>
      </c>
      <c r="Q184" s="18" t="s">
        <v>27</v>
      </c>
      <c r="R184" s="30" t="str">
        <f t="shared" ca="1" si="20"/>
        <v>Layak</v>
      </c>
    </row>
    <row r="185" spans="2:18" s="31" customFormat="1">
      <c r="B185" s="16">
        <f t="shared" si="17"/>
        <v>174</v>
      </c>
      <c r="C185" s="28" t="s">
        <v>26</v>
      </c>
      <c r="D185" s="33" t="s">
        <v>31</v>
      </c>
      <c r="E185" s="44" t="s">
        <v>29</v>
      </c>
      <c r="F185" s="43">
        <v>777</v>
      </c>
      <c r="G185" s="20" t="s">
        <v>724</v>
      </c>
      <c r="H185" s="27" t="s">
        <v>725</v>
      </c>
      <c r="I185" s="27" t="s">
        <v>28</v>
      </c>
      <c r="J185" s="29">
        <v>2022</v>
      </c>
      <c r="K185" s="23"/>
      <c r="L185" s="23">
        <v>46157</v>
      </c>
      <c r="M185" s="23">
        <f t="shared" si="21"/>
        <v>46339</v>
      </c>
      <c r="N185" s="24">
        <f t="shared" ref="N185:N222" ca="1" si="22">_xlfn.DAYS(M185,TODAY())</f>
        <v>106</v>
      </c>
      <c r="O185" s="19" t="s">
        <v>726</v>
      </c>
      <c r="P185" s="32" t="s">
        <v>727</v>
      </c>
      <c r="Q185" s="18" t="s">
        <v>27</v>
      </c>
      <c r="R185" s="30" t="str">
        <f t="shared" ca="1" si="20"/>
        <v>Layak</v>
      </c>
    </row>
    <row r="186" spans="2:18" s="31" customFormat="1">
      <c r="B186" s="16">
        <f t="shared" ref="B186:B222" si="23">ROW()-ROW($B$11)</f>
        <v>175</v>
      </c>
      <c r="C186" s="28" t="s">
        <v>26</v>
      </c>
      <c r="D186" s="33" t="s">
        <v>31</v>
      </c>
      <c r="E186" s="44" t="s">
        <v>29</v>
      </c>
      <c r="F186" s="43">
        <v>777</v>
      </c>
      <c r="G186" s="20" t="s">
        <v>728</v>
      </c>
      <c r="H186" s="27" t="s">
        <v>729</v>
      </c>
      <c r="I186" s="27" t="s">
        <v>28</v>
      </c>
      <c r="J186" s="29">
        <v>2023</v>
      </c>
      <c r="K186" s="23"/>
      <c r="L186" s="23">
        <v>46157</v>
      </c>
      <c r="M186" s="23">
        <f t="shared" si="21"/>
        <v>46339</v>
      </c>
      <c r="N186" s="24">
        <f t="shared" ca="1" si="22"/>
        <v>106</v>
      </c>
      <c r="O186" s="19" t="s">
        <v>730</v>
      </c>
      <c r="P186" s="32" t="s">
        <v>731</v>
      </c>
      <c r="Q186" s="18" t="s">
        <v>27</v>
      </c>
      <c r="R186" s="30" t="str">
        <f t="shared" ca="1" si="20"/>
        <v>Layak</v>
      </c>
    </row>
    <row r="187" spans="2:18" s="31" customFormat="1">
      <c r="B187" s="16">
        <f t="shared" si="23"/>
        <v>176</v>
      </c>
      <c r="C187" s="28" t="s">
        <v>26</v>
      </c>
      <c r="D187" s="33" t="s">
        <v>31</v>
      </c>
      <c r="E187" s="44" t="s">
        <v>29</v>
      </c>
      <c r="F187" s="43">
        <v>777</v>
      </c>
      <c r="G187" s="20" t="s">
        <v>732</v>
      </c>
      <c r="H187" s="27" t="s">
        <v>733</v>
      </c>
      <c r="I187" s="27" t="s">
        <v>28</v>
      </c>
      <c r="J187" s="29">
        <v>2022</v>
      </c>
      <c r="K187" s="23"/>
      <c r="L187" s="23">
        <v>46157</v>
      </c>
      <c r="M187" s="23">
        <f t="shared" si="21"/>
        <v>46339</v>
      </c>
      <c r="N187" s="24">
        <f t="shared" ca="1" si="22"/>
        <v>106</v>
      </c>
      <c r="O187" s="19" t="s">
        <v>734</v>
      </c>
      <c r="P187" s="32" t="s">
        <v>735</v>
      </c>
      <c r="Q187" s="18" t="s">
        <v>27</v>
      </c>
      <c r="R187" s="30" t="str">
        <f t="shared" ca="1" si="20"/>
        <v>Layak</v>
      </c>
    </row>
    <row r="188" spans="2:18" s="31" customFormat="1">
      <c r="B188" s="16">
        <f t="shared" si="23"/>
        <v>177</v>
      </c>
      <c r="C188" s="28" t="s">
        <v>26</v>
      </c>
      <c r="D188" s="33" t="s">
        <v>31</v>
      </c>
      <c r="E188" s="44" t="s">
        <v>29</v>
      </c>
      <c r="F188" s="43">
        <v>777</v>
      </c>
      <c r="G188" s="20" t="s">
        <v>736</v>
      </c>
      <c r="H188" s="27" t="s">
        <v>737</v>
      </c>
      <c r="I188" s="27" t="s">
        <v>28</v>
      </c>
      <c r="J188" s="29">
        <v>2022</v>
      </c>
      <c r="K188" s="23"/>
      <c r="L188" s="23">
        <v>46157</v>
      </c>
      <c r="M188" s="23">
        <f t="shared" si="21"/>
        <v>46339</v>
      </c>
      <c r="N188" s="24">
        <f t="shared" ca="1" si="22"/>
        <v>106</v>
      </c>
      <c r="O188" s="19" t="s">
        <v>738</v>
      </c>
      <c r="P188" s="32" t="s">
        <v>739</v>
      </c>
      <c r="Q188" s="18" t="s">
        <v>27</v>
      </c>
      <c r="R188" s="30" t="str">
        <f t="shared" ca="1" si="20"/>
        <v>Layak</v>
      </c>
    </row>
    <row r="189" spans="2:18" s="31" customFormat="1">
      <c r="B189" s="16">
        <f t="shared" si="23"/>
        <v>178</v>
      </c>
      <c r="C189" s="28" t="s">
        <v>26</v>
      </c>
      <c r="D189" s="33" t="s">
        <v>301</v>
      </c>
      <c r="E189" s="44" t="s">
        <v>29</v>
      </c>
      <c r="F189" s="43" t="s">
        <v>740</v>
      </c>
      <c r="G189" s="20" t="s">
        <v>741</v>
      </c>
      <c r="H189" s="27" t="s">
        <v>742</v>
      </c>
      <c r="I189" s="27" t="s">
        <v>28</v>
      </c>
      <c r="J189" s="29">
        <v>2008</v>
      </c>
      <c r="K189" s="23"/>
      <c r="L189" s="23">
        <v>46182</v>
      </c>
      <c r="M189" s="23">
        <f t="shared" si="21"/>
        <v>46364</v>
      </c>
      <c r="N189" s="24">
        <f t="shared" ca="1" si="22"/>
        <v>131</v>
      </c>
      <c r="O189" s="19" t="s">
        <v>743</v>
      </c>
      <c r="P189" s="32" t="s">
        <v>744</v>
      </c>
      <c r="Q189" s="18" t="s">
        <v>27</v>
      </c>
      <c r="R189" s="30" t="str">
        <f t="shared" ref="R189:R224" ca="1" si="24">IF(N189&gt;15,"Layak",IF(N189&gt;0,"Segera Lakukan Pemeriksaan","Tidak Layak"))</f>
        <v>Layak</v>
      </c>
    </row>
    <row r="190" spans="2:18" s="31" customFormat="1">
      <c r="B190" s="16">
        <f t="shared" si="23"/>
        <v>179</v>
      </c>
      <c r="C190" s="28" t="s">
        <v>26</v>
      </c>
      <c r="D190" s="33" t="s">
        <v>301</v>
      </c>
      <c r="E190" s="44" t="s">
        <v>29</v>
      </c>
      <c r="F190" s="43">
        <v>773</v>
      </c>
      <c r="G190" s="20" t="s">
        <v>745</v>
      </c>
      <c r="H190" s="27" t="s">
        <v>746</v>
      </c>
      <c r="I190" s="27" t="s">
        <v>28</v>
      </c>
      <c r="J190" s="29">
        <v>2022</v>
      </c>
      <c r="K190" s="23"/>
      <c r="L190" s="23">
        <v>46182</v>
      </c>
      <c r="M190" s="23">
        <f t="shared" si="21"/>
        <v>46364</v>
      </c>
      <c r="N190" s="24">
        <f t="shared" ca="1" si="22"/>
        <v>131</v>
      </c>
      <c r="O190" s="19" t="s">
        <v>702</v>
      </c>
      <c r="P190" s="32" t="s">
        <v>747</v>
      </c>
      <c r="Q190" s="18" t="s">
        <v>27</v>
      </c>
      <c r="R190" s="30" t="str">
        <f t="shared" ca="1" si="24"/>
        <v>Layak</v>
      </c>
    </row>
    <row r="191" spans="2:18" s="31" customFormat="1">
      <c r="B191" s="16">
        <f t="shared" si="23"/>
        <v>180</v>
      </c>
      <c r="C191" s="28" t="s">
        <v>26</v>
      </c>
      <c r="D191" s="33" t="s">
        <v>31</v>
      </c>
      <c r="E191" s="44" t="s">
        <v>30</v>
      </c>
      <c r="F191" s="43">
        <v>777</v>
      </c>
      <c r="G191" s="20" t="s">
        <v>748</v>
      </c>
      <c r="H191" s="27" t="s">
        <v>749</v>
      </c>
      <c r="I191" s="27" t="s">
        <v>28</v>
      </c>
      <c r="J191" s="29">
        <v>2022</v>
      </c>
      <c r="K191" s="23"/>
      <c r="L191" s="23">
        <v>46182</v>
      </c>
      <c r="M191" s="23">
        <f t="shared" si="21"/>
        <v>46364</v>
      </c>
      <c r="N191" s="24">
        <f t="shared" ca="1" si="22"/>
        <v>131</v>
      </c>
      <c r="O191" s="19" t="s">
        <v>750</v>
      </c>
      <c r="P191" s="32" t="s">
        <v>751</v>
      </c>
      <c r="Q191" s="18" t="s">
        <v>27</v>
      </c>
      <c r="R191" s="30" t="str">
        <f t="shared" ca="1" si="24"/>
        <v>Layak</v>
      </c>
    </row>
    <row r="192" spans="2:18" s="31" customFormat="1">
      <c r="B192" s="16">
        <f t="shared" si="23"/>
        <v>181</v>
      </c>
      <c r="C192" s="28" t="s">
        <v>26</v>
      </c>
      <c r="D192" s="33" t="s">
        <v>31</v>
      </c>
      <c r="E192" s="44" t="s">
        <v>30</v>
      </c>
      <c r="F192" s="43">
        <v>777</v>
      </c>
      <c r="G192" s="20" t="s">
        <v>752</v>
      </c>
      <c r="H192" s="27" t="s">
        <v>753</v>
      </c>
      <c r="I192" s="27" t="s">
        <v>28</v>
      </c>
      <c r="J192" s="29">
        <v>2022</v>
      </c>
      <c r="K192" s="23"/>
      <c r="L192" s="23">
        <v>46182</v>
      </c>
      <c r="M192" s="23">
        <f t="shared" si="21"/>
        <v>46364</v>
      </c>
      <c r="N192" s="24">
        <f t="shared" ca="1" si="22"/>
        <v>131</v>
      </c>
      <c r="O192" s="19" t="s">
        <v>754</v>
      </c>
      <c r="P192" s="32" t="s">
        <v>755</v>
      </c>
      <c r="Q192" s="18" t="s">
        <v>27</v>
      </c>
      <c r="R192" s="30" t="str">
        <f t="shared" ca="1" si="24"/>
        <v>Layak</v>
      </c>
    </row>
    <row r="193" spans="2:18" s="31" customFormat="1">
      <c r="B193" s="16">
        <f t="shared" si="23"/>
        <v>182</v>
      </c>
      <c r="C193" s="28" t="s">
        <v>26</v>
      </c>
      <c r="D193" s="33" t="s">
        <v>31</v>
      </c>
      <c r="E193" s="44" t="s">
        <v>30</v>
      </c>
      <c r="F193" s="43">
        <v>777</v>
      </c>
      <c r="G193" s="20" t="s">
        <v>756</v>
      </c>
      <c r="H193" s="27" t="s">
        <v>757</v>
      </c>
      <c r="I193" s="27" t="s">
        <v>28</v>
      </c>
      <c r="J193" s="29">
        <v>2022</v>
      </c>
      <c r="K193" s="23"/>
      <c r="L193" s="23">
        <v>46182</v>
      </c>
      <c r="M193" s="23">
        <f t="shared" si="21"/>
        <v>46364</v>
      </c>
      <c r="N193" s="24">
        <f t="shared" ca="1" si="22"/>
        <v>131</v>
      </c>
      <c r="O193" s="19" t="s">
        <v>758</v>
      </c>
      <c r="P193" s="32" t="s">
        <v>759</v>
      </c>
      <c r="Q193" s="18" t="s">
        <v>27</v>
      </c>
      <c r="R193" s="30" t="str">
        <f t="shared" ca="1" si="24"/>
        <v>Layak</v>
      </c>
    </row>
    <row r="194" spans="2:18" s="31" customFormat="1">
      <c r="B194" s="16">
        <f t="shared" si="23"/>
        <v>183</v>
      </c>
      <c r="C194" s="28" t="s">
        <v>26</v>
      </c>
      <c r="D194" s="33" t="s">
        <v>31</v>
      </c>
      <c r="E194" s="44" t="s">
        <v>29</v>
      </c>
      <c r="F194" s="43">
        <v>777</v>
      </c>
      <c r="G194" s="20" t="s">
        <v>760</v>
      </c>
      <c r="H194" s="27" t="s">
        <v>761</v>
      </c>
      <c r="I194" s="27" t="s">
        <v>28</v>
      </c>
      <c r="J194" s="29">
        <v>2025</v>
      </c>
      <c r="K194" s="23"/>
      <c r="L194" s="23">
        <v>46182</v>
      </c>
      <c r="M194" s="23">
        <f t="shared" si="21"/>
        <v>46364</v>
      </c>
      <c r="N194" s="24">
        <f t="shared" ca="1" si="22"/>
        <v>131</v>
      </c>
      <c r="O194" s="19" t="s">
        <v>762</v>
      </c>
      <c r="P194" s="32" t="s">
        <v>763</v>
      </c>
      <c r="Q194" s="18" t="s">
        <v>27</v>
      </c>
      <c r="R194" s="30" t="str">
        <f t="shared" ca="1" si="24"/>
        <v>Layak</v>
      </c>
    </row>
    <row r="195" spans="2:18" s="31" customFormat="1">
      <c r="B195" s="16">
        <f t="shared" si="23"/>
        <v>184</v>
      </c>
      <c r="C195" s="28" t="s">
        <v>26</v>
      </c>
      <c r="D195" s="33" t="s">
        <v>31</v>
      </c>
      <c r="E195" s="44" t="s">
        <v>29</v>
      </c>
      <c r="F195" s="43">
        <v>777</v>
      </c>
      <c r="G195" s="20" t="s">
        <v>764</v>
      </c>
      <c r="H195" s="27" t="s">
        <v>765</v>
      </c>
      <c r="I195" s="27" t="s">
        <v>28</v>
      </c>
      <c r="J195" s="29">
        <v>2025</v>
      </c>
      <c r="K195" s="23"/>
      <c r="L195" s="23">
        <v>46182</v>
      </c>
      <c r="M195" s="23">
        <f t="shared" si="21"/>
        <v>46364</v>
      </c>
      <c r="N195" s="24">
        <f t="shared" ca="1" si="22"/>
        <v>131</v>
      </c>
      <c r="O195" s="19" t="s">
        <v>766</v>
      </c>
      <c r="P195" s="32" t="s">
        <v>767</v>
      </c>
      <c r="Q195" s="18" t="s">
        <v>27</v>
      </c>
      <c r="R195" s="30" t="str">
        <f t="shared" ca="1" si="24"/>
        <v>Layak</v>
      </c>
    </row>
    <row r="196" spans="2:18" s="31" customFormat="1">
      <c r="B196" s="16">
        <f t="shared" si="23"/>
        <v>185</v>
      </c>
      <c r="C196" s="28" t="s">
        <v>26</v>
      </c>
      <c r="D196" s="33" t="s">
        <v>31</v>
      </c>
      <c r="E196" s="44" t="s">
        <v>29</v>
      </c>
      <c r="F196" s="43">
        <v>773</v>
      </c>
      <c r="G196" s="20" t="s">
        <v>768</v>
      </c>
      <c r="H196" s="27" t="s">
        <v>769</v>
      </c>
      <c r="I196" s="27" t="s">
        <v>28</v>
      </c>
      <c r="J196" s="29">
        <v>2004</v>
      </c>
      <c r="K196" s="23"/>
      <c r="L196" s="23">
        <v>46182</v>
      </c>
      <c r="M196" s="23">
        <f t="shared" si="21"/>
        <v>46364</v>
      </c>
      <c r="N196" s="24">
        <f t="shared" ca="1" si="22"/>
        <v>131</v>
      </c>
      <c r="O196" s="19" t="s">
        <v>770</v>
      </c>
      <c r="P196" s="32" t="s">
        <v>771</v>
      </c>
      <c r="Q196" s="18" t="s">
        <v>27</v>
      </c>
      <c r="R196" s="30" t="str">
        <f t="shared" ca="1" si="24"/>
        <v>Layak</v>
      </c>
    </row>
    <row r="197" spans="2:18" s="31" customFormat="1">
      <c r="B197" s="16">
        <f t="shared" si="23"/>
        <v>186</v>
      </c>
      <c r="C197" s="28" t="s">
        <v>26</v>
      </c>
      <c r="D197" s="33" t="s">
        <v>31</v>
      </c>
      <c r="E197" s="44" t="s">
        <v>30</v>
      </c>
      <c r="F197" s="43">
        <v>773</v>
      </c>
      <c r="G197" s="20" t="s">
        <v>772</v>
      </c>
      <c r="H197" s="27" t="s">
        <v>773</v>
      </c>
      <c r="I197" s="27" t="s">
        <v>28</v>
      </c>
      <c r="J197" s="29">
        <v>2005</v>
      </c>
      <c r="K197" s="23"/>
      <c r="L197" s="23">
        <v>46182</v>
      </c>
      <c r="M197" s="23">
        <f t="shared" si="21"/>
        <v>46364</v>
      </c>
      <c r="N197" s="24">
        <f t="shared" ca="1" si="22"/>
        <v>131</v>
      </c>
      <c r="O197" s="19" t="s">
        <v>774</v>
      </c>
      <c r="P197" s="32" t="s">
        <v>775</v>
      </c>
      <c r="Q197" s="18" t="s">
        <v>27</v>
      </c>
      <c r="R197" s="30" t="str">
        <f t="shared" ca="1" si="24"/>
        <v>Layak</v>
      </c>
    </row>
    <row r="198" spans="2:18" s="31" customFormat="1">
      <c r="B198" s="16">
        <f t="shared" si="23"/>
        <v>187</v>
      </c>
      <c r="C198" s="28" t="s">
        <v>26</v>
      </c>
      <c r="D198" s="33" t="s">
        <v>31</v>
      </c>
      <c r="E198" s="44" t="s">
        <v>29</v>
      </c>
      <c r="F198" s="43" t="s">
        <v>38</v>
      </c>
      <c r="G198" s="20" t="s">
        <v>776</v>
      </c>
      <c r="H198" s="27" t="s">
        <v>777</v>
      </c>
      <c r="I198" s="27" t="s">
        <v>28</v>
      </c>
      <c r="J198" s="29">
        <v>2018</v>
      </c>
      <c r="K198" s="23"/>
      <c r="L198" s="23">
        <v>46182</v>
      </c>
      <c r="M198" s="23">
        <f t="shared" si="21"/>
        <v>46364</v>
      </c>
      <c r="N198" s="24">
        <f t="shared" ca="1" si="22"/>
        <v>131</v>
      </c>
      <c r="O198" s="19" t="s">
        <v>778</v>
      </c>
      <c r="P198" s="32" t="s">
        <v>779</v>
      </c>
      <c r="Q198" s="18" t="s">
        <v>27</v>
      </c>
      <c r="R198" s="30" t="str">
        <f t="shared" ca="1" si="24"/>
        <v>Layak</v>
      </c>
    </row>
    <row r="199" spans="2:18" s="31" customFormat="1">
      <c r="B199" s="16">
        <f t="shared" si="23"/>
        <v>188</v>
      </c>
      <c r="C199" s="28" t="s">
        <v>26</v>
      </c>
      <c r="D199" s="33" t="s">
        <v>31</v>
      </c>
      <c r="E199" s="44" t="s">
        <v>29</v>
      </c>
      <c r="F199" s="43">
        <v>773</v>
      </c>
      <c r="G199" s="20" t="s">
        <v>780</v>
      </c>
      <c r="H199" s="27" t="s">
        <v>781</v>
      </c>
      <c r="I199" s="27" t="s">
        <v>28</v>
      </c>
      <c r="J199" s="29">
        <v>2018</v>
      </c>
      <c r="K199" s="23"/>
      <c r="L199" s="23">
        <v>46182</v>
      </c>
      <c r="M199" s="23">
        <f t="shared" si="21"/>
        <v>46364</v>
      </c>
      <c r="N199" s="24">
        <f t="shared" ca="1" si="22"/>
        <v>131</v>
      </c>
      <c r="O199" s="19" t="s">
        <v>782</v>
      </c>
      <c r="P199" s="32" t="s">
        <v>783</v>
      </c>
      <c r="Q199" s="18" t="s">
        <v>27</v>
      </c>
      <c r="R199" s="30" t="str">
        <f t="shared" ca="1" si="24"/>
        <v>Layak</v>
      </c>
    </row>
    <row r="200" spans="2:18" s="31" customFormat="1">
      <c r="B200" s="16">
        <f t="shared" si="23"/>
        <v>189</v>
      </c>
      <c r="C200" s="28" t="s">
        <v>26</v>
      </c>
      <c r="D200" s="33" t="s">
        <v>31</v>
      </c>
      <c r="E200" s="44" t="s">
        <v>30</v>
      </c>
      <c r="F200" s="43" t="s">
        <v>38</v>
      </c>
      <c r="G200" s="20" t="s">
        <v>784</v>
      </c>
      <c r="H200" s="27" t="s">
        <v>785</v>
      </c>
      <c r="I200" s="27" t="s">
        <v>28</v>
      </c>
      <c r="J200" s="29">
        <v>2018</v>
      </c>
      <c r="K200" s="23"/>
      <c r="L200" s="23">
        <v>46182</v>
      </c>
      <c r="M200" s="23">
        <f t="shared" si="21"/>
        <v>46364</v>
      </c>
      <c r="N200" s="24">
        <f t="shared" ca="1" si="22"/>
        <v>131</v>
      </c>
      <c r="O200" s="19" t="s">
        <v>786</v>
      </c>
      <c r="P200" s="32" t="s">
        <v>787</v>
      </c>
      <c r="Q200" s="18" t="s">
        <v>27</v>
      </c>
      <c r="R200" s="30" t="str">
        <f t="shared" ca="1" si="24"/>
        <v>Layak</v>
      </c>
    </row>
    <row r="201" spans="2:18" s="31" customFormat="1">
      <c r="B201" s="16">
        <f t="shared" si="23"/>
        <v>190</v>
      </c>
      <c r="C201" s="28" t="s">
        <v>26</v>
      </c>
      <c r="D201" s="33" t="s">
        <v>31</v>
      </c>
      <c r="E201" s="44" t="s">
        <v>30</v>
      </c>
      <c r="F201" s="43" t="s">
        <v>38</v>
      </c>
      <c r="G201" s="20" t="s">
        <v>788</v>
      </c>
      <c r="H201" s="27" t="s">
        <v>789</v>
      </c>
      <c r="I201" s="27" t="s">
        <v>28</v>
      </c>
      <c r="J201" s="29">
        <v>2011</v>
      </c>
      <c r="K201" s="23"/>
      <c r="L201" s="23">
        <v>46182</v>
      </c>
      <c r="M201" s="23">
        <f t="shared" si="21"/>
        <v>46364</v>
      </c>
      <c r="N201" s="24">
        <f t="shared" ca="1" si="22"/>
        <v>131</v>
      </c>
      <c r="O201" s="19" t="s">
        <v>790</v>
      </c>
      <c r="P201" s="32" t="s">
        <v>791</v>
      </c>
      <c r="Q201" s="18" t="s">
        <v>27</v>
      </c>
      <c r="R201" s="30" t="str">
        <f t="shared" ca="1" si="24"/>
        <v>Layak</v>
      </c>
    </row>
    <row r="202" spans="2:18" s="31" customFormat="1">
      <c r="B202" s="16">
        <f t="shared" si="23"/>
        <v>191</v>
      </c>
      <c r="C202" s="28" t="s">
        <v>26</v>
      </c>
      <c r="D202" s="33" t="s">
        <v>31</v>
      </c>
      <c r="E202" s="44" t="s">
        <v>29</v>
      </c>
      <c r="F202" s="43">
        <v>773</v>
      </c>
      <c r="G202" s="20" t="s">
        <v>792</v>
      </c>
      <c r="H202" s="27" t="s">
        <v>793</v>
      </c>
      <c r="I202" s="27" t="s">
        <v>28</v>
      </c>
      <c r="J202" s="29">
        <v>2020</v>
      </c>
      <c r="K202" s="23"/>
      <c r="L202" s="23">
        <v>46182</v>
      </c>
      <c r="M202" s="23">
        <f t="shared" si="21"/>
        <v>46364</v>
      </c>
      <c r="N202" s="24">
        <f t="shared" ca="1" si="22"/>
        <v>131</v>
      </c>
      <c r="O202" s="19" t="s">
        <v>794</v>
      </c>
      <c r="P202" s="32" t="s">
        <v>795</v>
      </c>
      <c r="Q202" s="18" t="s">
        <v>27</v>
      </c>
      <c r="R202" s="30" t="str">
        <f t="shared" ca="1" si="24"/>
        <v>Layak</v>
      </c>
    </row>
    <row r="203" spans="2:18" s="31" customFormat="1">
      <c r="B203" s="16">
        <f t="shared" si="23"/>
        <v>192</v>
      </c>
      <c r="C203" s="28" t="s">
        <v>26</v>
      </c>
      <c r="D203" s="33" t="s">
        <v>31</v>
      </c>
      <c r="E203" s="44" t="s">
        <v>29</v>
      </c>
      <c r="F203" s="43">
        <v>773</v>
      </c>
      <c r="G203" s="20" t="s">
        <v>796</v>
      </c>
      <c r="H203" s="27" t="s">
        <v>797</v>
      </c>
      <c r="I203" s="27" t="s">
        <v>28</v>
      </c>
      <c r="J203" s="29">
        <v>2020</v>
      </c>
      <c r="K203" s="23"/>
      <c r="L203" s="23">
        <v>46182</v>
      </c>
      <c r="M203" s="23">
        <f t="shared" si="21"/>
        <v>46364</v>
      </c>
      <c r="N203" s="24">
        <f t="shared" ca="1" si="22"/>
        <v>131</v>
      </c>
      <c r="O203" s="19" t="s">
        <v>798</v>
      </c>
      <c r="P203" s="32" t="s">
        <v>799</v>
      </c>
      <c r="Q203" s="18" t="s">
        <v>27</v>
      </c>
      <c r="R203" s="30" t="str">
        <f t="shared" ca="1" si="24"/>
        <v>Layak</v>
      </c>
    </row>
    <row r="204" spans="2:18" s="31" customFormat="1">
      <c r="B204" s="16">
        <f t="shared" si="23"/>
        <v>193</v>
      </c>
      <c r="C204" s="28" t="s">
        <v>26</v>
      </c>
      <c r="D204" s="33" t="s">
        <v>31</v>
      </c>
      <c r="E204" s="44" t="s">
        <v>29</v>
      </c>
      <c r="F204" s="43" t="s">
        <v>38</v>
      </c>
      <c r="G204" s="20" t="s">
        <v>800</v>
      </c>
      <c r="H204" s="27" t="s">
        <v>801</v>
      </c>
      <c r="I204" s="27" t="s">
        <v>28</v>
      </c>
      <c r="J204" s="29">
        <v>2020</v>
      </c>
      <c r="K204" s="23"/>
      <c r="L204" s="23">
        <v>46182</v>
      </c>
      <c r="M204" s="23">
        <f t="shared" si="21"/>
        <v>46364</v>
      </c>
      <c r="N204" s="24">
        <f t="shared" ca="1" si="22"/>
        <v>131</v>
      </c>
      <c r="O204" s="19" t="s">
        <v>802</v>
      </c>
      <c r="P204" s="32" t="s">
        <v>803</v>
      </c>
      <c r="Q204" s="18" t="s">
        <v>27</v>
      </c>
      <c r="R204" s="30" t="str">
        <f t="shared" ca="1" si="24"/>
        <v>Layak</v>
      </c>
    </row>
    <row r="205" spans="2:18" s="31" customFormat="1">
      <c r="B205" s="16">
        <f t="shared" si="23"/>
        <v>194</v>
      </c>
      <c r="C205" s="28" t="s">
        <v>26</v>
      </c>
      <c r="D205" s="33" t="s">
        <v>31</v>
      </c>
      <c r="E205" s="44" t="s">
        <v>29</v>
      </c>
      <c r="F205" s="43">
        <v>773</v>
      </c>
      <c r="G205" s="20" t="s">
        <v>804</v>
      </c>
      <c r="H205" s="27" t="s">
        <v>805</v>
      </c>
      <c r="I205" s="27" t="s">
        <v>28</v>
      </c>
      <c r="J205" s="29">
        <v>2020</v>
      </c>
      <c r="K205" s="23"/>
      <c r="L205" s="23">
        <v>46182</v>
      </c>
      <c r="M205" s="23">
        <f t="shared" si="21"/>
        <v>46364</v>
      </c>
      <c r="N205" s="24">
        <f t="shared" ca="1" si="22"/>
        <v>131</v>
      </c>
      <c r="O205" s="19" t="s">
        <v>806</v>
      </c>
      <c r="P205" s="32" t="s">
        <v>807</v>
      </c>
      <c r="Q205" s="18" t="s">
        <v>27</v>
      </c>
      <c r="R205" s="30" t="str">
        <f t="shared" ca="1" si="24"/>
        <v>Layak</v>
      </c>
    </row>
    <row r="206" spans="2:18" s="31" customFormat="1">
      <c r="B206" s="16">
        <f t="shared" si="23"/>
        <v>195</v>
      </c>
      <c r="C206" s="28" t="s">
        <v>26</v>
      </c>
      <c r="D206" s="33" t="s">
        <v>31</v>
      </c>
      <c r="E206" s="44" t="s">
        <v>29</v>
      </c>
      <c r="F206" s="43" t="s">
        <v>38</v>
      </c>
      <c r="G206" s="20" t="s">
        <v>808</v>
      </c>
      <c r="H206" s="27" t="s">
        <v>809</v>
      </c>
      <c r="I206" s="27" t="s">
        <v>28</v>
      </c>
      <c r="J206" s="29">
        <v>2020</v>
      </c>
      <c r="K206" s="23"/>
      <c r="L206" s="23">
        <v>46182</v>
      </c>
      <c r="M206" s="23">
        <f t="shared" ref="M206:M247" si="25">L206+182</f>
        <v>46364</v>
      </c>
      <c r="N206" s="24">
        <f t="shared" ca="1" si="22"/>
        <v>131</v>
      </c>
      <c r="O206" s="19" t="s">
        <v>810</v>
      </c>
      <c r="P206" s="32" t="s">
        <v>811</v>
      </c>
      <c r="Q206" s="18" t="s">
        <v>27</v>
      </c>
      <c r="R206" s="30" t="str">
        <f t="shared" ca="1" si="24"/>
        <v>Layak</v>
      </c>
    </row>
    <row r="207" spans="2:18" s="31" customFormat="1">
      <c r="B207" s="16">
        <f t="shared" si="23"/>
        <v>196</v>
      </c>
      <c r="C207" s="28" t="s">
        <v>26</v>
      </c>
      <c r="D207" s="33" t="s">
        <v>31</v>
      </c>
      <c r="E207" s="44" t="s">
        <v>29</v>
      </c>
      <c r="F207" s="43">
        <v>773</v>
      </c>
      <c r="G207" s="20" t="s">
        <v>812</v>
      </c>
      <c r="H207" s="27" t="s">
        <v>813</v>
      </c>
      <c r="I207" s="27" t="s">
        <v>28</v>
      </c>
      <c r="J207" s="29">
        <v>2020</v>
      </c>
      <c r="K207" s="23"/>
      <c r="L207" s="23">
        <v>46182</v>
      </c>
      <c r="M207" s="23">
        <f t="shared" si="25"/>
        <v>46364</v>
      </c>
      <c r="N207" s="24">
        <f t="shared" ca="1" si="22"/>
        <v>131</v>
      </c>
      <c r="O207" s="19" t="s">
        <v>814</v>
      </c>
      <c r="P207" s="32" t="s">
        <v>815</v>
      </c>
      <c r="Q207" s="18" t="s">
        <v>27</v>
      </c>
      <c r="R207" s="30" t="str">
        <f t="shared" ca="1" si="24"/>
        <v>Layak</v>
      </c>
    </row>
    <row r="208" spans="2:18" s="31" customFormat="1">
      <c r="B208" s="16">
        <f t="shared" si="23"/>
        <v>197</v>
      </c>
      <c r="C208" s="28" t="s">
        <v>26</v>
      </c>
      <c r="D208" s="33" t="s">
        <v>31</v>
      </c>
      <c r="E208" s="44" t="s">
        <v>29</v>
      </c>
      <c r="F208" s="43" t="s">
        <v>38</v>
      </c>
      <c r="G208" s="20" t="s">
        <v>816</v>
      </c>
      <c r="H208" s="27" t="s">
        <v>817</v>
      </c>
      <c r="I208" s="27" t="s">
        <v>28</v>
      </c>
      <c r="J208" s="29">
        <v>2021</v>
      </c>
      <c r="K208" s="23"/>
      <c r="L208" s="23">
        <v>46182</v>
      </c>
      <c r="M208" s="23">
        <f t="shared" si="25"/>
        <v>46364</v>
      </c>
      <c r="N208" s="24">
        <f t="shared" ca="1" si="22"/>
        <v>131</v>
      </c>
      <c r="O208" s="19" t="s">
        <v>818</v>
      </c>
      <c r="P208" s="32" t="s">
        <v>819</v>
      </c>
      <c r="Q208" s="18" t="s">
        <v>27</v>
      </c>
      <c r="R208" s="30" t="str">
        <f t="shared" ca="1" si="24"/>
        <v>Layak</v>
      </c>
    </row>
    <row r="209" spans="2:18" s="31" customFormat="1">
      <c r="B209" s="16">
        <f t="shared" si="23"/>
        <v>198</v>
      </c>
      <c r="C209" s="28" t="s">
        <v>26</v>
      </c>
      <c r="D209" s="33" t="s">
        <v>31</v>
      </c>
      <c r="E209" s="44" t="s">
        <v>29</v>
      </c>
      <c r="F209" s="43">
        <v>773</v>
      </c>
      <c r="G209" s="20" t="s">
        <v>820</v>
      </c>
      <c r="H209" s="27" t="s">
        <v>821</v>
      </c>
      <c r="I209" s="27" t="s">
        <v>28</v>
      </c>
      <c r="J209" s="29">
        <v>2022</v>
      </c>
      <c r="K209" s="23"/>
      <c r="L209" s="23">
        <v>46182</v>
      </c>
      <c r="M209" s="23">
        <f t="shared" si="25"/>
        <v>46364</v>
      </c>
      <c r="N209" s="24">
        <f t="shared" ca="1" si="22"/>
        <v>131</v>
      </c>
      <c r="O209" s="19" t="s">
        <v>822</v>
      </c>
      <c r="P209" s="32" t="s">
        <v>823</v>
      </c>
      <c r="Q209" s="18" t="s">
        <v>27</v>
      </c>
      <c r="R209" s="30" t="str">
        <f t="shared" ca="1" si="24"/>
        <v>Layak</v>
      </c>
    </row>
    <row r="210" spans="2:18" s="31" customFormat="1">
      <c r="B210" s="16">
        <f t="shared" si="23"/>
        <v>199</v>
      </c>
      <c r="C210" s="28" t="s">
        <v>26</v>
      </c>
      <c r="D210" s="33" t="s">
        <v>31</v>
      </c>
      <c r="E210" s="44" t="s">
        <v>29</v>
      </c>
      <c r="F210" s="43">
        <v>773</v>
      </c>
      <c r="G210" s="20" t="s">
        <v>824</v>
      </c>
      <c r="H210" s="27" t="s">
        <v>825</v>
      </c>
      <c r="I210" s="27" t="s">
        <v>28</v>
      </c>
      <c r="J210" s="29">
        <v>2012</v>
      </c>
      <c r="K210" s="23"/>
      <c r="L210" s="23">
        <v>46182</v>
      </c>
      <c r="M210" s="23">
        <f t="shared" si="25"/>
        <v>46364</v>
      </c>
      <c r="N210" s="24">
        <f t="shared" ca="1" si="22"/>
        <v>131</v>
      </c>
      <c r="O210" s="19" t="s">
        <v>826</v>
      </c>
      <c r="P210" s="32" t="s">
        <v>827</v>
      </c>
      <c r="Q210" s="18" t="s">
        <v>27</v>
      </c>
      <c r="R210" s="30" t="str">
        <f t="shared" ca="1" si="24"/>
        <v>Layak</v>
      </c>
    </row>
    <row r="211" spans="2:18" s="31" customFormat="1">
      <c r="B211" s="16">
        <f t="shared" si="23"/>
        <v>200</v>
      </c>
      <c r="C211" s="28" t="s">
        <v>26</v>
      </c>
      <c r="D211" s="33" t="s">
        <v>31</v>
      </c>
      <c r="E211" s="44" t="s">
        <v>29</v>
      </c>
      <c r="F211" s="43">
        <v>773</v>
      </c>
      <c r="G211" s="20" t="s">
        <v>828</v>
      </c>
      <c r="H211" s="27" t="s">
        <v>829</v>
      </c>
      <c r="I211" s="27" t="s">
        <v>28</v>
      </c>
      <c r="J211" s="29">
        <v>2015</v>
      </c>
      <c r="K211" s="23"/>
      <c r="L211" s="23">
        <v>46182</v>
      </c>
      <c r="M211" s="23">
        <f t="shared" si="25"/>
        <v>46364</v>
      </c>
      <c r="N211" s="24">
        <f t="shared" ca="1" si="22"/>
        <v>131</v>
      </c>
      <c r="O211" s="19" t="s">
        <v>830</v>
      </c>
      <c r="P211" s="32" t="s">
        <v>73</v>
      </c>
      <c r="Q211" s="18" t="s">
        <v>27</v>
      </c>
      <c r="R211" s="30" t="str">
        <f t="shared" ca="1" si="24"/>
        <v>Layak</v>
      </c>
    </row>
    <row r="212" spans="2:18" s="31" customFormat="1">
      <c r="B212" s="16">
        <f t="shared" si="23"/>
        <v>201</v>
      </c>
      <c r="C212" s="28" t="s">
        <v>26</v>
      </c>
      <c r="D212" s="33" t="s">
        <v>31</v>
      </c>
      <c r="E212" s="44" t="s">
        <v>29</v>
      </c>
      <c r="F212" s="43">
        <v>773</v>
      </c>
      <c r="G212" s="20" t="s">
        <v>831</v>
      </c>
      <c r="H212" s="27" t="s">
        <v>832</v>
      </c>
      <c r="I212" s="27" t="s">
        <v>28</v>
      </c>
      <c r="J212" s="29">
        <v>2020</v>
      </c>
      <c r="K212" s="23"/>
      <c r="L212" s="23">
        <v>46182</v>
      </c>
      <c r="M212" s="23">
        <f t="shared" si="25"/>
        <v>46364</v>
      </c>
      <c r="N212" s="24">
        <f t="shared" ca="1" si="22"/>
        <v>131</v>
      </c>
      <c r="O212" s="19" t="s">
        <v>833</v>
      </c>
      <c r="P212" s="32" t="s">
        <v>834</v>
      </c>
      <c r="Q212" s="18" t="s">
        <v>27</v>
      </c>
      <c r="R212" s="30" t="str">
        <f t="shared" ca="1" si="24"/>
        <v>Layak</v>
      </c>
    </row>
    <row r="213" spans="2:18" s="31" customFormat="1">
      <c r="B213" s="16">
        <f t="shared" si="23"/>
        <v>202</v>
      </c>
      <c r="C213" s="28" t="s">
        <v>26</v>
      </c>
      <c r="D213" s="33" t="s">
        <v>31</v>
      </c>
      <c r="E213" s="44" t="s">
        <v>29</v>
      </c>
      <c r="F213" s="43">
        <v>773</v>
      </c>
      <c r="G213" s="20" t="s">
        <v>835</v>
      </c>
      <c r="H213" s="27" t="s">
        <v>836</v>
      </c>
      <c r="I213" s="27" t="s">
        <v>28</v>
      </c>
      <c r="J213" s="29">
        <v>2011</v>
      </c>
      <c r="K213" s="23"/>
      <c r="L213" s="23">
        <v>46182</v>
      </c>
      <c r="M213" s="23">
        <f t="shared" si="25"/>
        <v>46364</v>
      </c>
      <c r="N213" s="24">
        <f t="shared" ca="1" si="22"/>
        <v>131</v>
      </c>
      <c r="O213" s="19" t="s">
        <v>837</v>
      </c>
      <c r="P213" s="32" t="s">
        <v>838</v>
      </c>
      <c r="Q213" s="18" t="s">
        <v>27</v>
      </c>
      <c r="R213" s="30" t="str">
        <f t="shared" ca="1" si="24"/>
        <v>Layak</v>
      </c>
    </row>
    <row r="214" spans="2:18" s="31" customFormat="1">
      <c r="B214" s="16">
        <f t="shared" si="23"/>
        <v>203</v>
      </c>
      <c r="C214" s="28" t="s">
        <v>26</v>
      </c>
      <c r="D214" s="33" t="s">
        <v>31</v>
      </c>
      <c r="E214" s="44" t="s">
        <v>29</v>
      </c>
      <c r="F214" s="43">
        <v>773</v>
      </c>
      <c r="G214" s="20" t="s">
        <v>839</v>
      </c>
      <c r="H214" s="27" t="s">
        <v>840</v>
      </c>
      <c r="I214" s="27" t="s">
        <v>28</v>
      </c>
      <c r="J214" s="29">
        <v>2011</v>
      </c>
      <c r="K214" s="23"/>
      <c r="L214" s="23">
        <v>46182</v>
      </c>
      <c r="M214" s="23">
        <f t="shared" si="25"/>
        <v>46364</v>
      </c>
      <c r="N214" s="24">
        <f t="shared" ca="1" si="22"/>
        <v>131</v>
      </c>
      <c r="O214" s="19" t="s">
        <v>841</v>
      </c>
      <c r="P214" s="32" t="s">
        <v>842</v>
      </c>
      <c r="Q214" s="18" t="s">
        <v>27</v>
      </c>
      <c r="R214" s="30" t="str">
        <f t="shared" ca="1" si="24"/>
        <v>Layak</v>
      </c>
    </row>
    <row r="215" spans="2:18" s="31" customFormat="1">
      <c r="B215" s="16">
        <f t="shared" si="23"/>
        <v>204</v>
      </c>
      <c r="C215" s="28" t="s">
        <v>26</v>
      </c>
      <c r="D215" s="33" t="s">
        <v>31</v>
      </c>
      <c r="E215" s="44" t="s">
        <v>29</v>
      </c>
      <c r="F215" s="43" t="s">
        <v>38</v>
      </c>
      <c r="G215" s="20" t="s">
        <v>843</v>
      </c>
      <c r="H215" s="27" t="s">
        <v>844</v>
      </c>
      <c r="I215" s="27" t="s">
        <v>28</v>
      </c>
      <c r="J215" s="29">
        <v>2020</v>
      </c>
      <c r="K215" s="23"/>
      <c r="L215" s="23">
        <v>46182</v>
      </c>
      <c r="M215" s="23">
        <f t="shared" si="25"/>
        <v>46364</v>
      </c>
      <c r="N215" s="24">
        <f t="shared" ca="1" si="22"/>
        <v>131</v>
      </c>
      <c r="O215" s="19" t="s">
        <v>845</v>
      </c>
      <c r="P215" s="32" t="s">
        <v>846</v>
      </c>
      <c r="Q215" s="18" t="s">
        <v>27</v>
      </c>
      <c r="R215" s="30" t="str">
        <f t="shared" ca="1" si="24"/>
        <v>Layak</v>
      </c>
    </row>
    <row r="216" spans="2:18" s="31" customFormat="1">
      <c r="B216" s="16">
        <f t="shared" si="23"/>
        <v>205</v>
      </c>
      <c r="C216" s="28" t="s">
        <v>26</v>
      </c>
      <c r="D216" s="33" t="s">
        <v>31</v>
      </c>
      <c r="E216" s="44" t="s">
        <v>29</v>
      </c>
      <c r="F216" s="43" t="s">
        <v>38</v>
      </c>
      <c r="G216" s="20" t="s">
        <v>847</v>
      </c>
      <c r="H216" s="27" t="s">
        <v>848</v>
      </c>
      <c r="I216" s="27" t="s">
        <v>28</v>
      </c>
      <c r="J216" s="29">
        <v>2020</v>
      </c>
      <c r="K216" s="23"/>
      <c r="L216" s="23">
        <v>46182</v>
      </c>
      <c r="M216" s="23">
        <f t="shared" si="25"/>
        <v>46364</v>
      </c>
      <c r="N216" s="24">
        <f t="shared" ca="1" si="22"/>
        <v>131</v>
      </c>
      <c r="O216" s="19" t="s">
        <v>849</v>
      </c>
      <c r="P216" s="32" t="s">
        <v>850</v>
      </c>
      <c r="Q216" s="18" t="s">
        <v>27</v>
      </c>
      <c r="R216" s="30" t="str">
        <f t="shared" ca="1" si="24"/>
        <v>Layak</v>
      </c>
    </row>
    <row r="217" spans="2:18" s="31" customFormat="1">
      <c r="B217" s="16">
        <f t="shared" si="23"/>
        <v>206</v>
      </c>
      <c r="C217" s="28" t="s">
        <v>26</v>
      </c>
      <c r="D217" s="33" t="s">
        <v>31</v>
      </c>
      <c r="E217" s="44" t="s">
        <v>29</v>
      </c>
      <c r="F217" s="43">
        <v>773</v>
      </c>
      <c r="G217" s="20" t="s">
        <v>851</v>
      </c>
      <c r="H217" s="27" t="s">
        <v>852</v>
      </c>
      <c r="I217" s="27" t="s">
        <v>28</v>
      </c>
      <c r="J217" s="29">
        <v>2020</v>
      </c>
      <c r="K217" s="23"/>
      <c r="L217" s="23">
        <v>46182</v>
      </c>
      <c r="M217" s="23">
        <f t="shared" si="25"/>
        <v>46364</v>
      </c>
      <c r="N217" s="24">
        <f t="shared" ca="1" si="22"/>
        <v>131</v>
      </c>
      <c r="O217" s="19" t="s">
        <v>853</v>
      </c>
      <c r="P217" s="32" t="s">
        <v>854</v>
      </c>
      <c r="Q217" s="18" t="s">
        <v>27</v>
      </c>
      <c r="R217" s="30" t="str">
        <f t="shared" ca="1" si="24"/>
        <v>Layak</v>
      </c>
    </row>
    <row r="218" spans="2:18" s="31" customFormat="1">
      <c r="B218" s="16">
        <f t="shared" si="23"/>
        <v>207</v>
      </c>
      <c r="C218" s="28" t="s">
        <v>26</v>
      </c>
      <c r="D218" s="33" t="s">
        <v>31</v>
      </c>
      <c r="E218" s="44" t="s">
        <v>29</v>
      </c>
      <c r="F218" s="43" t="s">
        <v>38</v>
      </c>
      <c r="G218" s="20" t="s">
        <v>855</v>
      </c>
      <c r="H218" s="27" t="s">
        <v>856</v>
      </c>
      <c r="I218" s="27" t="s">
        <v>28</v>
      </c>
      <c r="J218" s="29">
        <v>2020</v>
      </c>
      <c r="K218" s="23"/>
      <c r="L218" s="23">
        <v>46182</v>
      </c>
      <c r="M218" s="23">
        <f t="shared" si="25"/>
        <v>46364</v>
      </c>
      <c r="N218" s="24">
        <f t="shared" ca="1" si="22"/>
        <v>131</v>
      </c>
      <c r="O218" s="19" t="s">
        <v>857</v>
      </c>
      <c r="P218" s="32" t="s">
        <v>858</v>
      </c>
      <c r="Q218" s="18" t="s">
        <v>27</v>
      </c>
      <c r="R218" s="30" t="str">
        <f t="shared" ca="1" si="24"/>
        <v>Layak</v>
      </c>
    </row>
    <row r="219" spans="2:18" s="31" customFormat="1">
      <c r="B219" s="16">
        <f t="shared" si="23"/>
        <v>208</v>
      </c>
      <c r="C219" s="28" t="s">
        <v>26</v>
      </c>
      <c r="D219" s="33" t="s">
        <v>31</v>
      </c>
      <c r="E219" s="44" t="s">
        <v>29</v>
      </c>
      <c r="F219" s="43" t="s">
        <v>38</v>
      </c>
      <c r="G219" s="20" t="s">
        <v>859</v>
      </c>
      <c r="H219" s="27" t="s">
        <v>860</v>
      </c>
      <c r="I219" s="27" t="s">
        <v>28</v>
      </c>
      <c r="J219" s="29">
        <v>2023</v>
      </c>
      <c r="K219" s="23"/>
      <c r="L219" s="23">
        <v>46182</v>
      </c>
      <c r="M219" s="23">
        <f t="shared" si="25"/>
        <v>46364</v>
      </c>
      <c r="N219" s="24">
        <f t="shared" ca="1" si="22"/>
        <v>131</v>
      </c>
      <c r="O219" s="19" t="s">
        <v>861</v>
      </c>
      <c r="P219" s="32" t="s">
        <v>862</v>
      </c>
      <c r="Q219" s="18" t="s">
        <v>27</v>
      </c>
      <c r="R219" s="30" t="str">
        <f t="shared" ca="1" si="24"/>
        <v>Layak</v>
      </c>
    </row>
    <row r="220" spans="2:18" s="31" customFormat="1">
      <c r="B220" s="16">
        <f t="shared" si="23"/>
        <v>209</v>
      </c>
      <c r="C220" s="28" t="s">
        <v>26</v>
      </c>
      <c r="D220" s="33" t="s">
        <v>31</v>
      </c>
      <c r="E220" s="44" t="s">
        <v>29</v>
      </c>
      <c r="F220" s="43">
        <v>773</v>
      </c>
      <c r="G220" s="20" t="s">
        <v>863</v>
      </c>
      <c r="H220" s="27" t="s">
        <v>864</v>
      </c>
      <c r="I220" s="27" t="s">
        <v>28</v>
      </c>
      <c r="J220" s="29">
        <v>2011</v>
      </c>
      <c r="K220" s="23"/>
      <c r="L220" s="23">
        <v>46182</v>
      </c>
      <c r="M220" s="23">
        <f t="shared" si="25"/>
        <v>46364</v>
      </c>
      <c r="N220" s="24">
        <f t="shared" ca="1" si="22"/>
        <v>131</v>
      </c>
      <c r="O220" s="19" t="s">
        <v>865</v>
      </c>
      <c r="P220" s="32" t="s">
        <v>866</v>
      </c>
      <c r="Q220" s="18" t="s">
        <v>27</v>
      </c>
      <c r="R220" s="30" t="str">
        <f t="shared" ca="1" si="24"/>
        <v>Layak</v>
      </c>
    </row>
    <row r="221" spans="2:18" s="31" customFormat="1">
      <c r="B221" s="16">
        <f t="shared" si="23"/>
        <v>210</v>
      </c>
      <c r="C221" s="28" t="s">
        <v>26</v>
      </c>
      <c r="D221" s="33" t="s">
        <v>31</v>
      </c>
      <c r="E221" s="44" t="s">
        <v>29</v>
      </c>
      <c r="F221" s="43" t="s">
        <v>38</v>
      </c>
      <c r="G221" s="20" t="s">
        <v>867</v>
      </c>
      <c r="H221" s="27" t="s">
        <v>868</v>
      </c>
      <c r="I221" s="27" t="s">
        <v>28</v>
      </c>
      <c r="J221" s="29">
        <v>2022</v>
      </c>
      <c r="K221" s="23"/>
      <c r="L221" s="23">
        <v>46182</v>
      </c>
      <c r="M221" s="23">
        <f t="shared" si="25"/>
        <v>46364</v>
      </c>
      <c r="N221" s="24">
        <f t="shared" ca="1" si="22"/>
        <v>131</v>
      </c>
      <c r="O221" s="19" t="s">
        <v>869</v>
      </c>
      <c r="P221" s="32" t="s">
        <v>870</v>
      </c>
      <c r="Q221" s="18" t="s">
        <v>27</v>
      </c>
      <c r="R221" s="30" t="str">
        <f t="shared" ca="1" si="24"/>
        <v>Layak</v>
      </c>
    </row>
    <row r="222" spans="2:18" s="31" customFormat="1">
      <c r="B222" s="16">
        <f t="shared" si="23"/>
        <v>211</v>
      </c>
      <c r="C222" s="28" t="s">
        <v>26</v>
      </c>
      <c r="D222" s="33" t="s">
        <v>31</v>
      </c>
      <c r="E222" s="44" t="s">
        <v>29</v>
      </c>
      <c r="F222" s="43">
        <v>773</v>
      </c>
      <c r="G222" s="20" t="s">
        <v>871</v>
      </c>
      <c r="H222" s="27" t="s">
        <v>872</v>
      </c>
      <c r="I222" s="27" t="s">
        <v>28</v>
      </c>
      <c r="J222" s="29">
        <v>2022</v>
      </c>
      <c r="K222" s="23"/>
      <c r="L222" s="23">
        <v>46182</v>
      </c>
      <c r="M222" s="23">
        <f t="shared" si="25"/>
        <v>46364</v>
      </c>
      <c r="N222" s="24">
        <f t="shared" ca="1" si="22"/>
        <v>131</v>
      </c>
      <c r="O222" s="19" t="s">
        <v>873</v>
      </c>
      <c r="P222" s="32" t="s">
        <v>874</v>
      </c>
      <c r="Q222" s="18" t="s">
        <v>27</v>
      </c>
      <c r="R222" s="30" t="str">
        <f t="shared" ca="1" si="24"/>
        <v>Layak</v>
      </c>
    </row>
    <row r="223" spans="2:18" s="31" customFormat="1">
      <c r="B223" s="16">
        <f t="shared" ref="B223:B247" si="26">ROW()-ROW($B$11)</f>
        <v>212</v>
      </c>
      <c r="C223" s="28" t="s">
        <v>26</v>
      </c>
      <c r="D223" s="33" t="s">
        <v>31</v>
      </c>
      <c r="E223" s="44" t="s">
        <v>875</v>
      </c>
      <c r="F223" s="43">
        <v>777</v>
      </c>
      <c r="G223" s="20" t="s">
        <v>876</v>
      </c>
      <c r="H223" s="27" t="s">
        <v>877</v>
      </c>
      <c r="I223" s="27" t="s">
        <v>28</v>
      </c>
      <c r="J223" s="29">
        <v>2023</v>
      </c>
      <c r="K223" s="23"/>
      <c r="L223" s="23">
        <v>46199</v>
      </c>
      <c r="M223" s="23">
        <f t="shared" si="25"/>
        <v>46381</v>
      </c>
      <c r="N223" s="24">
        <f t="shared" ref="N223:N247" ca="1" si="27">_xlfn.DAYS(M223,TODAY())</f>
        <v>148</v>
      </c>
      <c r="O223" s="19" t="s">
        <v>878</v>
      </c>
      <c r="P223" s="32" t="s">
        <v>879</v>
      </c>
      <c r="Q223" s="18" t="s">
        <v>27</v>
      </c>
      <c r="R223" s="30" t="str">
        <f t="shared" ca="1" si="24"/>
        <v>Layak</v>
      </c>
    </row>
    <row r="224" spans="2:18" s="31" customFormat="1">
      <c r="B224" s="16">
        <f t="shared" si="26"/>
        <v>213</v>
      </c>
      <c r="C224" s="28" t="s">
        <v>26</v>
      </c>
      <c r="D224" s="33" t="s">
        <v>31</v>
      </c>
      <c r="E224" s="44" t="s">
        <v>29</v>
      </c>
      <c r="F224" s="43">
        <v>777</v>
      </c>
      <c r="G224" s="20" t="s">
        <v>880</v>
      </c>
      <c r="H224" s="27" t="s">
        <v>881</v>
      </c>
      <c r="I224" s="27" t="s">
        <v>28</v>
      </c>
      <c r="J224" s="29">
        <v>2023</v>
      </c>
      <c r="K224" s="23"/>
      <c r="L224" s="23">
        <v>46199</v>
      </c>
      <c r="M224" s="23">
        <f t="shared" si="25"/>
        <v>46381</v>
      </c>
      <c r="N224" s="24">
        <f t="shared" ca="1" si="27"/>
        <v>148</v>
      </c>
      <c r="O224" s="19" t="s">
        <v>882</v>
      </c>
      <c r="P224" s="32" t="s">
        <v>883</v>
      </c>
      <c r="Q224" s="18" t="s">
        <v>27</v>
      </c>
      <c r="R224" s="30" t="str">
        <f t="shared" ca="1" si="24"/>
        <v>Layak</v>
      </c>
    </row>
    <row r="225" spans="2:18" s="31" customFormat="1">
      <c r="B225" s="16">
        <f t="shared" si="26"/>
        <v>214</v>
      </c>
      <c r="C225" s="28" t="s">
        <v>26</v>
      </c>
      <c r="D225" s="33" t="s">
        <v>31</v>
      </c>
      <c r="E225" s="44" t="s">
        <v>29</v>
      </c>
      <c r="F225" s="43">
        <v>777</v>
      </c>
      <c r="G225" s="20" t="s">
        <v>884</v>
      </c>
      <c r="H225" s="27" t="s">
        <v>885</v>
      </c>
      <c r="I225" s="27" t="s">
        <v>28</v>
      </c>
      <c r="J225" s="29">
        <v>2023</v>
      </c>
      <c r="K225" s="23"/>
      <c r="L225" s="23">
        <v>46199</v>
      </c>
      <c r="M225" s="23">
        <f t="shared" si="25"/>
        <v>46381</v>
      </c>
      <c r="N225" s="24">
        <f t="shared" ca="1" si="27"/>
        <v>148</v>
      </c>
      <c r="O225" s="19" t="s">
        <v>886</v>
      </c>
      <c r="P225" s="32" t="s">
        <v>887</v>
      </c>
      <c r="Q225" s="18" t="s">
        <v>27</v>
      </c>
      <c r="R225" s="30" t="str">
        <f t="shared" ref="R225:R253" ca="1" si="28">IF(N225&gt;15,"Layak",IF(N225&gt;0,"Segera Lakukan Pemeriksaan","Tidak Layak"))</f>
        <v>Layak</v>
      </c>
    </row>
    <row r="226" spans="2:18" s="31" customFormat="1">
      <c r="B226" s="16">
        <f t="shared" si="26"/>
        <v>215</v>
      </c>
      <c r="C226" s="28" t="s">
        <v>26</v>
      </c>
      <c r="D226" s="33" t="s">
        <v>31</v>
      </c>
      <c r="E226" s="44" t="s">
        <v>29</v>
      </c>
      <c r="F226" s="43">
        <v>777</v>
      </c>
      <c r="G226" s="20" t="s">
        <v>888</v>
      </c>
      <c r="H226" s="27" t="s">
        <v>889</v>
      </c>
      <c r="I226" s="27" t="s">
        <v>28</v>
      </c>
      <c r="J226" s="29">
        <v>2023</v>
      </c>
      <c r="K226" s="23"/>
      <c r="L226" s="23">
        <v>46199</v>
      </c>
      <c r="M226" s="23">
        <f t="shared" si="25"/>
        <v>46381</v>
      </c>
      <c r="N226" s="24">
        <f t="shared" ca="1" si="27"/>
        <v>148</v>
      </c>
      <c r="O226" s="19" t="s">
        <v>890</v>
      </c>
      <c r="P226" s="32" t="s">
        <v>891</v>
      </c>
      <c r="Q226" s="18" t="s">
        <v>27</v>
      </c>
      <c r="R226" s="30" t="str">
        <f t="shared" ca="1" si="28"/>
        <v>Layak</v>
      </c>
    </row>
    <row r="227" spans="2:18" s="31" customFormat="1">
      <c r="B227" s="16">
        <f t="shared" si="26"/>
        <v>216</v>
      </c>
      <c r="C227" s="28" t="s">
        <v>26</v>
      </c>
      <c r="D227" s="33" t="s">
        <v>31</v>
      </c>
      <c r="E227" s="44" t="s">
        <v>29</v>
      </c>
      <c r="F227" s="43">
        <v>777</v>
      </c>
      <c r="G227" s="20" t="s">
        <v>892</v>
      </c>
      <c r="H227" s="27" t="s">
        <v>893</v>
      </c>
      <c r="I227" s="27" t="s">
        <v>28</v>
      </c>
      <c r="J227" s="29">
        <v>2023</v>
      </c>
      <c r="K227" s="23"/>
      <c r="L227" s="23">
        <v>46199</v>
      </c>
      <c r="M227" s="23">
        <f t="shared" si="25"/>
        <v>46381</v>
      </c>
      <c r="N227" s="24">
        <f t="shared" ca="1" si="27"/>
        <v>148</v>
      </c>
      <c r="O227" s="19" t="s">
        <v>894</v>
      </c>
      <c r="P227" s="32" t="s">
        <v>895</v>
      </c>
      <c r="Q227" s="18" t="s">
        <v>27</v>
      </c>
      <c r="R227" s="30" t="str">
        <f t="shared" ca="1" si="28"/>
        <v>Layak</v>
      </c>
    </row>
    <row r="228" spans="2:18" s="31" customFormat="1">
      <c r="B228" s="16">
        <f t="shared" si="26"/>
        <v>217</v>
      </c>
      <c r="C228" s="28" t="s">
        <v>26</v>
      </c>
      <c r="D228" s="33" t="s">
        <v>31</v>
      </c>
      <c r="E228" s="44" t="s">
        <v>29</v>
      </c>
      <c r="F228" s="43">
        <v>777</v>
      </c>
      <c r="G228" s="20" t="s">
        <v>896</v>
      </c>
      <c r="H228" s="27" t="s">
        <v>897</v>
      </c>
      <c r="I228" s="27" t="s">
        <v>28</v>
      </c>
      <c r="J228" s="29">
        <v>2023</v>
      </c>
      <c r="K228" s="23"/>
      <c r="L228" s="23">
        <v>46199</v>
      </c>
      <c r="M228" s="23">
        <f t="shared" si="25"/>
        <v>46381</v>
      </c>
      <c r="N228" s="24">
        <f t="shared" ca="1" si="27"/>
        <v>148</v>
      </c>
      <c r="O228" s="19" t="s">
        <v>898</v>
      </c>
      <c r="P228" s="32" t="s">
        <v>899</v>
      </c>
      <c r="Q228" s="18" t="s">
        <v>27</v>
      </c>
      <c r="R228" s="30" t="str">
        <f t="shared" ca="1" si="28"/>
        <v>Layak</v>
      </c>
    </row>
    <row r="229" spans="2:18" s="31" customFormat="1">
      <c r="B229" s="16">
        <f t="shared" si="26"/>
        <v>218</v>
      </c>
      <c r="C229" s="28" t="s">
        <v>26</v>
      </c>
      <c r="D229" s="33" t="s">
        <v>31</v>
      </c>
      <c r="E229" s="44" t="s">
        <v>29</v>
      </c>
      <c r="F229" s="43">
        <v>777</v>
      </c>
      <c r="G229" s="20" t="s">
        <v>900</v>
      </c>
      <c r="H229" s="27" t="s">
        <v>901</v>
      </c>
      <c r="I229" s="27" t="s">
        <v>28</v>
      </c>
      <c r="J229" s="29">
        <v>2023</v>
      </c>
      <c r="K229" s="23"/>
      <c r="L229" s="23">
        <v>46199</v>
      </c>
      <c r="M229" s="23">
        <f t="shared" si="25"/>
        <v>46381</v>
      </c>
      <c r="N229" s="24">
        <f t="shared" ca="1" si="27"/>
        <v>148</v>
      </c>
      <c r="O229" s="19" t="s">
        <v>902</v>
      </c>
      <c r="P229" s="32" t="s">
        <v>903</v>
      </c>
      <c r="Q229" s="18" t="s">
        <v>27</v>
      </c>
      <c r="R229" s="30" t="str">
        <f t="shared" ca="1" si="28"/>
        <v>Layak</v>
      </c>
    </row>
    <row r="230" spans="2:18" s="31" customFormat="1">
      <c r="B230" s="16">
        <f t="shared" si="26"/>
        <v>219</v>
      </c>
      <c r="C230" s="28" t="s">
        <v>26</v>
      </c>
      <c r="D230" s="33" t="s">
        <v>31</v>
      </c>
      <c r="E230" s="44" t="s">
        <v>29</v>
      </c>
      <c r="F230" s="43">
        <v>777</v>
      </c>
      <c r="G230" s="20" t="s">
        <v>904</v>
      </c>
      <c r="H230" s="27" t="s">
        <v>905</v>
      </c>
      <c r="I230" s="27" t="s">
        <v>28</v>
      </c>
      <c r="J230" s="29">
        <v>2023</v>
      </c>
      <c r="K230" s="23"/>
      <c r="L230" s="23">
        <v>46199</v>
      </c>
      <c r="M230" s="23">
        <f t="shared" si="25"/>
        <v>46381</v>
      </c>
      <c r="N230" s="24">
        <f t="shared" ca="1" si="27"/>
        <v>148</v>
      </c>
      <c r="O230" s="19" t="s">
        <v>906</v>
      </c>
      <c r="P230" s="32" t="s">
        <v>907</v>
      </c>
      <c r="Q230" s="18" t="s">
        <v>27</v>
      </c>
      <c r="R230" s="30" t="str">
        <f t="shared" ca="1" si="28"/>
        <v>Layak</v>
      </c>
    </row>
    <row r="231" spans="2:18" s="31" customFormat="1">
      <c r="B231" s="16">
        <f t="shared" si="26"/>
        <v>220</v>
      </c>
      <c r="C231" s="28" t="s">
        <v>26</v>
      </c>
      <c r="D231" s="33" t="s">
        <v>31</v>
      </c>
      <c r="E231" s="44" t="s">
        <v>32</v>
      </c>
      <c r="F231" s="43">
        <v>777</v>
      </c>
      <c r="G231" s="20" t="s">
        <v>908</v>
      </c>
      <c r="H231" s="27" t="s">
        <v>909</v>
      </c>
      <c r="I231" s="27" t="s">
        <v>28</v>
      </c>
      <c r="J231" s="29">
        <v>2023</v>
      </c>
      <c r="K231" s="23"/>
      <c r="L231" s="23">
        <v>46199</v>
      </c>
      <c r="M231" s="23">
        <f t="shared" si="25"/>
        <v>46381</v>
      </c>
      <c r="N231" s="24">
        <f t="shared" ca="1" si="27"/>
        <v>148</v>
      </c>
      <c r="O231" s="19" t="s">
        <v>910</v>
      </c>
      <c r="P231" s="32" t="s">
        <v>911</v>
      </c>
      <c r="Q231" s="18" t="s">
        <v>27</v>
      </c>
      <c r="R231" s="30" t="str">
        <f t="shared" ca="1" si="28"/>
        <v>Layak</v>
      </c>
    </row>
    <row r="232" spans="2:18" s="31" customFormat="1">
      <c r="B232" s="16">
        <f t="shared" si="26"/>
        <v>221</v>
      </c>
      <c r="C232" s="28" t="s">
        <v>26</v>
      </c>
      <c r="D232" s="33" t="s">
        <v>31</v>
      </c>
      <c r="E232" s="44" t="s">
        <v>32</v>
      </c>
      <c r="F232" s="43">
        <v>777</v>
      </c>
      <c r="G232" s="20" t="s">
        <v>912</v>
      </c>
      <c r="H232" s="27" t="s">
        <v>913</v>
      </c>
      <c r="I232" s="27" t="s">
        <v>28</v>
      </c>
      <c r="J232" s="29">
        <v>2023</v>
      </c>
      <c r="K232" s="23"/>
      <c r="L232" s="23">
        <v>46199</v>
      </c>
      <c r="M232" s="23">
        <f t="shared" si="25"/>
        <v>46381</v>
      </c>
      <c r="N232" s="24">
        <f t="shared" ca="1" si="27"/>
        <v>148</v>
      </c>
      <c r="O232" s="19" t="s">
        <v>914</v>
      </c>
      <c r="P232" s="32" t="s">
        <v>915</v>
      </c>
      <c r="Q232" s="18" t="s">
        <v>27</v>
      </c>
      <c r="R232" s="30" t="str">
        <f t="shared" ca="1" si="28"/>
        <v>Layak</v>
      </c>
    </row>
    <row r="233" spans="2:18" s="31" customFormat="1">
      <c r="B233" s="16">
        <f t="shared" si="26"/>
        <v>222</v>
      </c>
      <c r="C233" s="28" t="s">
        <v>26</v>
      </c>
      <c r="D233" s="33" t="s">
        <v>31</v>
      </c>
      <c r="E233" s="44" t="s">
        <v>32</v>
      </c>
      <c r="F233" s="43">
        <v>777</v>
      </c>
      <c r="G233" s="20" t="s">
        <v>916</v>
      </c>
      <c r="H233" s="27" t="s">
        <v>917</v>
      </c>
      <c r="I233" s="27" t="s">
        <v>28</v>
      </c>
      <c r="J233" s="29">
        <v>2023</v>
      </c>
      <c r="K233" s="23"/>
      <c r="L233" s="23">
        <v>46199</v>
      </c>
      <c r="M233" s="23">
        <f t="shared" si="25"/>
        <v>46381</v>
      </c>
      <c r="N233" s="24">
        <f t="shared" ca="1" si="27"/>
        <v>148</v>
      </c>
      <c r="O233" s="19" t="s">
        <v>918</v>
      </c>
      <c r="P233" s="32" t="s">
        <v>919</v>
      </c>
      <c r="Q233" s="18" t="s">
        <v>27</v>
      </c>
      <c r="R233" s="30" t="str">
        <f t="shared" ca="1" si="28"/>
        <v>Layak</v>
      </c>
    </row>
    <row r="234" spans="2:18" s="31" customFormat="1">
      <c r="B234" s="16">
        <f t="shared" si="26"/>
        <v>223</v>
      </c>
      <c r="C234" s="28" t="s">
        <v>26</v>
      </c>
      <c r="D234" s="33" t="s">
        <v>31</v>
      </c>
      <c r="E234" s="44" t="s">
        <v>29</v>
      </c>
      <c r="F234" s="43">
        <v>777</v>
      </c>
      <c r="G234" s="20" t="s">
        <v>920</v>
      </c>
      <c r="H234" s="27" t="s">
        <v>921</v>
      </c>
      <c r="I234" s="27" t="s">
        <v>28</v>
      </c>
      <c r="J234" s="29">
        <v>2022</v>
      </c>
      <c r="K234" s="23"/>
      <c r="L234" s="23">
        <v>46199</v>
      </c>
      <c r="M234" s="23">
        <f t="shared" si="25"/>
        <v>46381</v>
      </c>
      <c r="N234" s="24">
        <f t="shared" ca="1" si="27"/>
        <v>148</v>
      </c>
      <c r="O234" s="19" t="s">
        <v>922</v>
      </c>
      <c r="P234" s="32" t="s">
        <v>923</v>
      </c>
      <c r="Q234" s="18" t="s">
        <v>27</v>
      </c>
      <c r="R234" s="30" t="str">
        <f t="shared" ca="1" si="28"/>
        <v>Layak</v>
      </c>
    </row>
    <row r="235" spans="2:18" s="31" customFormat="1">
      <c r="B235" s="16">
        <f t="shared" si="26"/>
        <v>224</v>
      </c>
      <c r="C235" s="28" t="s">
        <v>26</v>
      </c>
      <c r="D235" s="33" t="s">
        <v>31</v>
      </c>
      <c r="E235" s="44" t="s">
        <v>29</v>
      </c>
      <c r="F235" s="43">
        <v>777</v>
      </c>
      <c r="G235" s="20" t="s">
        <v>924</v>
      </c>
      <c r="H235" s="27" t="s">
        <v>925</v>
      </c>
      <c r="I235" s="27" t="s">
        <v>28</v>
      </c>
      <c r="J235" s="29">
        <v>2023</v>
      </c>
      <c r="K235" s="23"/>
      <c r="L235" s="23">
        <v>46199</v>
      </c>
      <c r="M235" s="23">
        <f t="shared" si="25"/>
        <v>46381</v>
      </c>
      <c r="N235" s="24">
        <f t="shared" ca="1" si="27"/>
        <v>148</v>
      </c>
      <c r="O235" s="19" t="s">
        <v>926</v>
      </c>
      <c r="P235" s="32" t="s">
        <v>927</v>
      </c>
      <c r="Q235" s="18" t="s">
        <v>27</v>
      </c>
      <c r="R235" s="30" t="str">
        <f t="shared" ca="1" si="28"/>
        <v>Layak</v>
      </c>
    </row>
    <row r="236" spans="2:18" s="31" customFormat="1">
      <c r="B236" s="16">
        <f t="shared" si="26"/>
        <v>225</v>
      </c>
      <c r="C236" s="28" t="s">
        <v>26</v>
      </c>
      <c r="D236" s="33" t="s">
        <v>31</v>
      </c>
      <c r="E236" s="44" t="s">
        <v>32</v>
      </c>
      <c r="F236" s="43">
        <v>777</v>
      </c>
      <c r="G236" s="20" t="s">
        <v>928</v>
      </c>
      <c r="H236" s="27" t="s">
        <v>929</v>
      </c>
      <c r="I236" s="27" t="s">
        <v>28</v>
      </c>
      <c r="J236" s="29">
        <v>2022</v>
      </c>
      <c r="K236" s="23"/>
      <c r="L236" s="23">
        <v>46199</v>
      </c>
      <c r="M236" s="23">
        <f t="shared" si="25"/>
        <v>46381</v>
      </c>
      <c r="N236" s="24">
        <f t="shared" ca="1" si="27"/>
        <v>148</v>
      </c>
      <c r="O236" s="19" t="s">
        <v>930</v>
      </c>
      <c r="P236" s="32" t="s">
        <v>931</v>
      </c>
      <c r="Q236" s="18" t="s">
        <v>27</v>
      </c>
      <c r="R236" s="30" t="str">
        <f t="shared" ca="1" si="28"/>
        <v>Layak</v>
      </c>
    </row>
    <row r="237" spans="2:18" s="31" customFormat="1">
      <c r="B237" s="16">
        <f t="shared" si="26"/>
        <v>226</v>
      </c>
      <c r="C237" s="28" t="s">
        <v>26</v>
      </c>
      <c r="D237" s="33" t="s">
        <v>31</v>
      </c>
      <c r="E237" s="44" t="s">
        <v>29</v>
      </c>
      <c r="F237" s="43">
        <v>777</v>
      </c>
      <c r="G237" s="20" t="s">
        <v>932</v>
      </c>
      <c r="H237" s="27" t="s">
        <v>933</v>
      </c>
      <c r="I237" s="27" t="s">
        <v>28</v>
      </c>
      <c r="J237" s="29">
        <v>2023</v>
      </c>
      <c r="K237" s="23"/>
      <c r="L237" s="23">
        <v>46199</v>
      </c>
      <c r="M237" s="23">
        <f t="shared" si="25"/>
        <v>46381</v>
      </c>
      <c r="N237" s="24">
        <f t="shared" ca="1" si="27"/>
        <v>148</v>
      </c>
      <c r="O237" s="19" t="s">
        <v>934</v>
      </c>
      <c r="P237" s="32" t="s">
        <v>935</v>
      </c>
      <c r="Q237" s="18" t="s">
        <v>27</v>
      </c>
      <c r="R237" s="30" t="str">
        <f t="shared" ca="1" si="28"/>
        <v>Layak</v>
      </c>
    </row>
    <row r="238" spans="2:18" s="31" customFormat="1">
      <c r="B238" s="16">
        <f t="shared" si="26"/>
        <v>227</v>
      </c>
      <c r="C238" s="28" t="s">
        <v>26</v>
      </c>
      <c r="D238" s="33" t="s">
        <v>31</v>
      </c>
      <c r="E238" s="44" t="s">
        <v>29</v>
      </c>
      <c r="F238" s="43">
        <v>777</v>
      </c>
      <c r="G238" s="20" t="s">
        <v>936</v>
      </c>
      <c r="H238" s="27" t="s">
        <v>937</v>
      </c>
      <c r="I238" s="27" t="s">
        <v>28</v>
      </c>
      <c r="J238" s="29">
        <v>2023</v>
      </c>
      <c r="K238" s="23"/>
      <c r="L238" s="23">
        <v>46199</v>
      </c>
      <c r="M238" s="23">
        <f t="shared" si="25"/>
        <v>46381</v>
      </c>
      <c r="N238" s="24">
        <f t="shared" ca="1" si="27"/>
        <v>148</v>
      </c>
      <c r="O238" s="19" t="s">
        <v>938</v>
      </c>
      <c r="P238" s="32" t="s">
        <v>939</v>
      </c>
      <c r="Q238" s="18" t="s">
        <v>27</v>
      </c>
      <c r="R238" s="30" t="str">
        <f t="shared" ca="1" si="28"/>
        <v>Layak</v>
      </c>
    </row>
    <row r="239" spans="2:18" s="31" customFormat="1">
      <c r="B239" s="16">
        <f t="shared" si="26"/>
        <v>228</v>
      </c>
      <c r="C239" s="28" t="s">
        <v>26</v>
      </c>
      <c r="D239" s="33" t="s">
        <v>31</v>
      </c>
      <c r="E239" s="44" t="s">
        <v>29</v>
      </c>
      <c r="F239" s="43" t="s">
        <v>626</v>
      </c>
      <c r="G239" s="20" t="s">
        <v>940</v>
      </c>
      <c r="H239" s="27" t="s">
        <v>941</v>
      </c>
      <c r="I239" s="27" t="s">
        <v>28</v>
      </c>
      <c r="J239" s="29">
        <v>2019</v>
      </c>
      <c r="K239" s="23"/>
      <c r="L239" s="23">
        <v>46199</v>
      </c>
      <c r="M239" s="23">
        <f t="shared" si="25"/>
        <v>46381</v>
      </c>
      <c r="N239" s="24">
        <f t="shared" ca="1" si="27"/>
        <v>148</v>
      </c>
      <c r="O239" s="19" t="s">
        <v>942</v>
      </c>
      <c r="P239" s="32" t="s">
        <v>943</v>
      </c>
      <c r="Q239" s="18" t="s">
        <v>27</v>
      </c>
      <c r="R239" s="30" t="str">
        <f t="shared" ca="1" si="28"/>
        <v>Layak</v>
      </c>
    </row>
    <row r="240" spans="2:18" s="31" customFormat="1">
      <c r="B240" s="16">
        <f t="shared" si="26"/>
        <v>229</v>
      </c>
      <c r="C240" s="28" t="s">
        <v>26</v>
      </c>
      <c r="D240" s="33" t="s">
        <v>31</v>
      </c>
      <c r="E240" s="44" t="s">
        <v>29</v>
      </c>
      <c r="F240" s="43" t="s">
        <v>626</v>
      </c>
      <c r="G240" s="20" t="s">
        <v>944</v>
      </c>
      <c r="H240" s="27" t="s">
        <v>945</v>
      </c>
      <c r="I240" s="27" t="s">
        <v>28</v>
      </c>
      <c r="J240" s="29">
        <v>2022</v>
      </c>
      <c r="K240" s="23"/>
      <c r="L240" s="23">
        <v>46199</v>
      </c>
      <c r="M240" s="23">
        <f t="shared" si="25"/>
        <v>46381</v>
      </c>
      <c r="N240" s="24">
        <f t="shared" ca="1" si="27"/>
        <v>148</v>
      </c>
      <c r="O240" s="19" t="s">
        <v>946</v>
      </c>
      <c r="P240" s="32" t="s">
        <v>947</v>
      </c>
      <c r="Q240" s="18" t="s">
        <v>27</v>
      </c>
      <c r="R240" s="30" t="str">
        <f t="shared" ca="1" si="28"/>
        <v>Layak</v>
      </c>
    </row>
    <row r="241" spans="2:18" s="31" customFormat="1">
      <c r="B241" s="16">
        <f t="shared" si="26"/>
        <v>230</v>
      </c>
      <c r="C241" s="28" t="s">
        <v>26</v>
      </c>
      <c r="D241" s="33" t="s">
        <v>31</v>
      </c>
      <c r="E241" s="44" t="s">
        <v>29</v>
      </c>
      <c r="F241" s="43">
        <v>777</v>
      </c>
      <c r="G241" s="20" t="s">
        <v>948</v>
      </c>
      <c r="H241" s="27" t="s">
        <v>949</v>
      </c>
      <c r="I241" s="27" t="s">
        <v>28</v>
      </c>
      <c r="J241" s="29">
        <v>2022</v>
      </c>
      <c r="K241" s="23"/>
      <c r="L241" s="23">
        <v>46199</v>
      </c>
      <c r="M241" s="23">
        <f t="shared" si="25"/>
        <v>46381</v>
      </c>
      <c r="N241" s="24">
        <f t="shared" ca="1" si="27"/>
        <v>148</v>
      </c>
      <c r="O241" s="19" t="s">
        <v>950</v>
      </c>
      <c r="P241" s="32" t="s">
        <v>951</v>
      </c>
      <c r="Q241" s="18" t="s">
        <v>27</v>
      </c>
      <c r="R241" s="30" t="str">
        <f t="shared" ca="1" si="28"/>
        <v>Layak</v>
      </c>
    </row>
    <row r="242" spans="2:18" s="31" customFormat="1">
      <c r="B242" s="16">
        <f t="shared" si="26"/>
        <v>231</v>
      </c>
      <c r="C242" s="28" t="s">
        <v>26</v>
      </c>
      <c r="D242" s="33" t="s">
        <v>31</v>
      </c>
      <c r="E242" s="44" t="s">
        <v>29</v>
      </c>
      <c r="F242" s="43">
        <v>777</v>
      </c>
      <c r="G242" s="20" t="s">
        <v>952</v>
      </c>
      <c r="H242" s="27" t="s">
        <v>953</v>
      </c>
      <c r="I242" s="27" t="s">
        <v>28</v>
      </c>
      <c r="J242" s="29">
        <v>2022</v>
      </c>
      <c r="K242" s="23"/>
      <c r="L242" s="23">
        <v>46199</v>
      </c>
      <c r="M242" s="23">
        <f t="shared" si="25"/>
        <v>46381</v>
      </c>
      <c r="N242" s="24">
        <f t="shared" ca="1" si="27"/>
        <v>148</v>
      </c>
      <c r="O242" s="19" t="s">
        <v>954</v>
      </c>
      <c r="P242" s="32" t="s">
        <v>955</v>
      </c>
      <c r="Q242" s="18" t="s">
        <v>27</v>
      </c>
      <c r="R242" s="30" t="str">
        <f t="shared" ca="1" si="28"/>
        <v>Layak</v>
      </c>
    </row>
    <row r="243" spans="2:18" s="31" customFormat="1">
      <c r="B243" s="16">
        <f t="shared" si="26"/>
        <v>232</v>
      </c>
      <c r="C243" s="28" t="s">
        <v>26</v>
      </c>
      <c r="D243" s="33" t="s">
        <v>31</v>
      </c>
      <c r="E243" s="44" t="s">
        <v>29</v>
      </c>
      <c r="F243" s="43">
        <v>777</v>
      </c>
      <c r="G243" s="20" t="s">
        <v>956</v>
      </c>
      <c r="H243" s="27" t="s">
        <v>957</v>
      </c>
      <c r="I243" s="27" t="s">
        <v>28</v>
      </c>
      <c r="J243" s="29">
        <v>2022</v>
      </c>
      <c r="K243" s="23"/>
      <c r="L243" s="23">
        <v>46199</v>
      </c>
      <c r="M243" s="23">
        <f t="shared" si="25"/>
        <v>46381</v>
      </c>
      <c r="N243" s="24">
        <f t="shared" ca="1" si="27"/>
        <v>148</v>
      </c>
      <c r="O243" s="19" t="s">
        <v>680</v>
      </c>
      <c r="P243" s="32" t="s">
        <v>958</v>
      </c>
      <c r="Q243" s="18" t="s">
        <v>27</v>
      </c>
      <c r="R243" s="30" t="str">
        <f t="shared" ca="1" si="28"/>
        <v>Layak</v>
      </c>
    </row>
    <row r="244" spans="2:18" s="31" customFormat="1">
      <c r="B244" s="16">
        <f t="shared" si="26"/>
        <v>233</v>
      </c>
      <c r="C244" s="28" t="s">
        <v>26</v>
      </c>
      <c r="D244" s="33" t="s">
        <v>31</v>
      </c>
      <c r="E244" s="44" t="s">
        <v>29</v>
      </c>
      <c r="F244" s="43">
        <v>777</v>
      </c>
      <c r="G244" s="20" t="s">
        <v>959</v>
      </c>
      <c r="H244" s="27" t="s">
        <v>960</v>
      </c>
      <c r="I244" s="27" t="s">
        <v>28</v>
      </c>
      <c r="J244" s="29">
        <v>2022</v>
      </c>
      <c r="K244" s="23"/>
      <c r="L244" s="23">
        <v>46199</v>
      </c>
      <c r="M244" s="23">
        <f t="shared" si="25"/>
        <v>46381</v>
      </c>
      <c r="N244" s="24">
        <f t="shared" ca="1" si="27"/>
        <v>148</v>
      </c>
      <c r="O244" s="19" t="s">
        <v>961</v>
      </c>
      <c r="P244" s="32" t="s">
        <v>962</v>
      </c>
      <c r="Q244" s="18" t="s">
        <v>27</v>
      </c>
      <c r="R244" s="30" t="str">
        <f t="shared" ca="1" si="28"/>
        <v>Layak</v>
      </c>
    </row>
    <row r="245" spans="2:18" s="31" customFormat="1">
      <c r="B245" s="16">
        <f t="shared" si="26"/>
        <v>234</v>
      </c>
      <c r="C245" s="28" t="s">
        <v>26</v>
      </c>
      <c r="D245" s="33" t="s">
        <v>31</v>
      </c>
      <c r="E245" s="44" t="s">
        <v>29</v>
      </c>
      <c r="F245" s="43">
        <v>777</v>
      </c>
      <c r="G245" s="20" t="s">
        <v>963</v>
      </c>
      <c r="H245" s="27" t="s">
        <v>964</v>
      </c>
      <c r="I245" s="27" t="s">
        <v>28</v>
      </c>
      <c r="J245" s="29">
        <v>2022</v>
      </c>
      <c r="K245" s="23"/>
      <c r="L245" s="23">
        <v>46199</v>
      </c>
      <c r="M245" s="23">
        <f t="shared" si="25"/>
        <v>46381</v>
      </c>
      <c r="N245" s="24">
        <f t="shared" ca="1" si="27"/>
        <v>148</v>
      </c>
      <c r="O245" s="19" t="s">
        <v>965</v>
      </c>
      <c r="P245" s="32" t="s">
        <v>966</v>
      </c>
      <c r="Q245" s="18" t="s">
        <v>27</v>
      </c>
      <c r="R245" s="30" t="str">
        <f t="shared" ca="1" si="28"/>
        <v>Layak</v>
      </c>
    </row>
    <row r="246" spans="2:18" s="31" customFormat="1">
      <c r="B246" s="16">
        <f t="shared" si="26"/>
        <v>235</v>
      </c>
      <c r="C246" s="28" t="s">
        <v>26</v>
      </c>
      <c r="D246" s="33" t="s">
        <v>31</v>
      </c>
      <c r="E246" s="44" t="s">
        <v>29</v>
      </c>
      <c r="F246" s="43" t="s">
        <v>626</v>
      </c>
      <c r="G246" s="20" t="s">
        <v>967</v>
      </c>
      <c r="H246" s="27" t="s">
        <v>968</v>
      </c>
      <c r="I246" s="27" t="s">
        <v>28</v>
      </c>
      <c r="J246" s="29">
        <v>2022</v>
      </c>
      <c r="K246" s="23"/>
      <c r="L246" s="23">
        <v>46199</v>
      </c>
      <c r="M246" s="23">
        <f t="shared" si="25"/>
        <v>46381</v>
      </c>
      <c r="N246" s="24">
        <f t="shared" ca="1" si="27"/>
        <v>148</v>
      </c>
      <c r="O246" s="19" t="s">
        <v>969</v>
      </c>
      <c r="P246" s="32" t="s">
        <v>970</v>
      </c>
      <c r="Q246" s="18" t="s">
        <v>27</v>
      </c>
      <c r="R246" s="30" t="str">
        <f t="shared" ca="1" si="28"/>
        <v>Layak</v>
      </c>
    </row>
    <row r="247" spans="2:18" s="31" customFormat="1">
      <c r="B247" s="16">
        <f t="shared" si="26"/>
        <v>236</v>
      </c>
      <c r="C247" s="28" t="s">
        <v>26</v>
      </c>
      <c r="D247" s="33" t="s">
        <v>31</v>
      </c>
      <c r="E247" s="44" t="s">
        <v>29</v>
      </c>
      <c r="F247" s="43">
        <v>777</v>
      </c>
      <c r="G247" s="20" t="s">
        <v>971</v>
      </c>
      <c r="H247" s="27" t="s">
        <v>972</v>
      </c>
      <c r="I247" s="27" t="s">
        <v>28</v>
      </c>
      <c r="J247" s="29">
        <v>2022</v>
      </c>
      <c r="K247" s="23"/>
      <c r="L247" s="23">
        <v>46199</v>
      </c>
      <c r="M247" s="23">
        <f t="shared" si="25"/>
        <v>46381</v>
      </c>
      <c r="N247" s="24">
        <f t="shared" ca="1" si="27"/>
        <v>148</v>
      </c>
      <c r="O247" s="19" t="s">
        <v>973</v>
      </c>
      <c r="P247" s="32" t="s">
        <v>974</v>
      </c>
      <c r="Q247" s="18" t="s">
        <v>27</v>
      </c>
      <c r="R247" s="30" t="str">
        <f t="shared" ca="1" si="28"/>
        <v>Layak</v>
      </c>
    </row>
    <row r="248" spans="2:18" s="31" customFormat="1">
      <c r="B248" s="16">
        <f t="shared" ref="B248:B261" si="29">ROW()-ROW($B$11)</f>
        <v>237</v>
      </c>
      <c r="C248" s="28" t="s">
        <v>26</v>
      </c>
      <c r="D248" s="33" t="s">
        <v>31</v>
      </c>
      <c r="E248" s="44" t="s">
        <v>29</v>
      </c>
      <c r="F248" s="43">
        <v>777</v>
      </c>
      <c r="G248" s="20" t="s">
        <v>975</v>
      </c>
      <c r="H248" s="27" t="s">
        <v>976</v>
      </c>
      <c r="I248" s="27" t="s">
        <v>28</v>
      </c>
      <c r="J248" s="29">
        <v>2022</v>
      </c>
      <c r="K248" s="23"/>
      <c r="L248" s="23">
        <v>46029</v>
      </c>
      <c r="M248" s="23">
        <f t="shared" ref="M248:M253" si="30">L248+182</f>
        <v>46211</v>
      </c>
      <c r="N248" s="24">
        <f t="shared" ref="N248:N259" ca="1" si="31">_xlfn.DAYS(M248,TODAY())</f>
        <v>-22</v>
      </c>
      <c r="O248" s="19" t="s">
        <v>977</v>
      </c>
      <c r="P248" s="32" t="s">
        <v>978</v>
      </c>
      <c r="Q248" s="18" t="s">
        <v>27</v>
      </c>
      <c r="R248" s="30" t="str">
        <f t="shared" ca="1" si="28"/>
        <v>Tidak Layak</v>
      </c>
    </row>
    <row r="249" spans="2:18" s="31" customFormat="1">
      <c r="B249" s="16">
        <f t="shared" si="29"/>
        <v>238</v>
      </c>
      <c r="C249" s="28" t="s">
        <v>26</v>
      </c>
      <c r="D249" s="33" t="s">
        <v>31</v>
      </c>
      <c r="E249" s="44" t="s">
        <v>29</v>
      </c>
      <c r="F249" s="43">
        <v>777</v>
      </c>
      <c r="G249" s="20" t="s">
        <v>979</v>
      </c>
      <c r="H249" s="27" t="s">
        <v>980</v>
      </c>
      <c r="I249" s="27" t="s">
        <v>28</v>
      </c>
      <c r="J249" s="29">
        <v>2022</v>
      </c>
      <c r="K249" s="23"/>
      <c r="L249" s="23">
        <v>46029</v>
      </c>
      <c r="M249" s="23">
        <f t="shared" si="30"/>
        <v>46211</v>
      </c>
      <c r="N249" s="24">
        <f t="shared" ca="1" si="31"/>
        <v>-22</v>
      </c>
      <c r="O249" s="19" t="s">
        <v>981</v>
      </c>
      <c r="P249" s="32" t="s">
        <v>982</v>
      </c>
      <c r="Q249" s="18" t="s">
        <v>27</v>
      </c>
      <c r="R249" s="30" t="str">
        <f t="shared" ca="1" si="28"/>
        <v>Tidak Layak</v>
      </c>
    </row>
    <row r="250" spans="2:18" s="31" customFormat="1">
      <c r="B250" s="16">
        <f t="shared" si="29"/>
        <v>239</v>
      </c>
      <c r="C250" s="28" t="s">
        <v>26</v>
      </c>
      <c r="D250" s="33" t="s">
        <v>31</v>
      </c>
      <c r="E250" s="44" t="s">
        <v>29</v>
      </c>
      <c r="F250" s="43">
        <v>777</v>
      </c>
      <c r="G250" s="20" t="s">
        <v>983</v>
      </c>
      <c r="H250" s="27" t="s">
        <v>984</v>
      </c>
      <c r="I250" s="27" t="s">
        <v>28</v>
      </c>
      <c r="J250" s="29">
        <v>2022</v>
      </c>
      <c r="K250" s="23"/>
      <c r="L250" s="23">
        <v>46029</v>
      </c>
      <c r="M250" s="23">
        <f t="shared" si="30"/>
        <v>46211</v>
      </c>
      <c r="N250" s="24">
        <f t="shared" ca="1" si="31"/>
        <v>-22</v>
      </c>
      <c r="O250" s="19" t="s">
        <v>985</v>
      </c>
      <c r="P250" s="32" t="s">
        <v>986</v>
      </c>
      <c r="Q250" s="18" t="s">
        <v>27</v>
      </c>
      <c r="R250" s="30" t="str">
        <f t="shared" ca="1" si="28"/>
        <v>Tidak Layak</v>
      </c>
    </row>
    <row r="251" spans="2:18" s="31" customFormat="1">
      <c r="B251" s="16">
        <f t="shared" si="29"/>
        <v>240</v>
      </c>
      <c r="C251" s="28" t="s">
        <v>26</v>
      </c>
      <c r="D251" s="33" t="s">
        <v>31</v>
      </c>
      <c r="E251" s="44" t="s">
        <v>29</v>
      </c>
      <c r="F251" s="43">
        <v>777</v>
      </c>
      <c r="G251" s="20" t="s">
        <v>987</v>
      </c>
      <c r="H251" s="27" t="s">
        <v>988</v>
      </c>
      <c r="I251" s="27" t="s">
        <v>28</v>
      </c>
      <c r="J251" s="29">
        <v>2022</v>
      </c>
      <c r="K251" s="23"/>
      <c r="L251" s="23">
        <v>46029</v>
      </c>
      <c r="M251" s="23">
        <f t="shared" si="30"/>
        <v>46211</v>
      </c>
      <c r="N251" s="24">
        <f t="shared" ca="1" si="31"/>
        <v>-22</v>
      </c>
      <c r="O251" s="19" t="s">
        <v>989</v>
      </c>
      <c r="P251" s="32" t="s">
        <v>990</v>
      </c>
      <c r="Q251" s="18" t="s">
        <v>27</v>
      </c>
      <c r="R251" s="30" t="str">
        <f t="shared" ca="1" si="28"/>
        <v>Tidak Layak</v>
      </c>
    </row>
    <row r="252" spans="2:18" s="31" customFormat="1">
      <c r="B252" s="16">
        <f t="shared" si="29"/>
        <v>241</v>
      </c>
      <c r="C252" s="28" t="s">
        <v>26</v>
      </c>
      <c r="D252" s="33" t="s">
        <v>31</v>
      </c>
      <c r="E252" s="44" t="s">
        <v>29</v>
      </c>
      <c r="F252" s="43">
        <v>777</v>
      </c>
      <c r="G252" s="20" t="s">
        <v>991</v>
      </c>
      <c r="H252" s="27" t="s">
        <v>992</v>
      </c>
      <c r="I252" s="27" t="s">
        <v>28</v>
      </c>
      <c r="J252" s="29">
        <v>2022</v>
      </c>
      <c r="K252" s="23"/>
      <c r="L252" s="23">
        <v>46029</v>
      </c>
      <c r="M252" s="23">
        <f t="shared" si="30"/>
        <v>46211</v>
      </c>
      <c r="N252" s="24">
        <f t="shared" ca="1" si="31"/>
        <v>-22</v>
      </c>
      <c r="O252" s="19" t="s">
        <v>993</v>
      </c>
      <c r="P252" s="32" t="s">
        <v>994</v>
      </c>
      <c r="Q252" s="18" t="s">
        <v>27</v>
      </c>
      <c r="R252" s="30" t="str">
        <f t="shared" ca="1" si="28"/>
        <v>Tidak Layak</v>
      </c>
    </row>
    <row r="253" spans="2:18" s="31" customFormat="1">
      <c r="B253" s="16">
        <f t="shared" si="29"/>
        <v>242</v>
      </c>
      <c r="C253" s="28" t="s">
        <v>26</v>
      </c>
      <c r="D253" s="33" t="s">
        <v>31</v>
      </c>
      <c r="E253" s="44" t="s">
        <v>29</v>
      </c>
      <c r="F253" s="43">
        <v>777</v>
      </c>
      <c r="G253" s="20" t="s">
        <v>983</v>
      </c>
      <c r="H253" s="27" t="s">
        <v>995</v>
      </c>
      <c r="I253" s="27" t="s">
        <v>28</v>
      </c>
      <c r="J253" s="29">
        <v>2022</v>
      </c>
      <c r="K253" s="23"/>
      <c r="L253" s="23">
        <v>46029</v>
      </c>
      <c r="M253" s="23">
        <f t="shared" si="30"/>
        <v>46211</v>
      </c>
      <c r="N253" s="24">
        <f t="shared" ca="1" si="31"/>
        <v>-22</v>
      </c>
      <c r="O253" s="19" t="s">
        <v>996</v>
      </c>
      <c r="P253" s="32" t="s">
        <v>997</v>
      </c>
      <c r="Q253" s="18" t="s">
        <v>27</v>
      </c>
      <c r="R253" s="30" t="str">
        <f t="shared" ca="1" si="28"/>
        <v>Tidak Layak</v>
      </c>
    </row>
    <row r="254" spans="2:18">
      <c r="B254" s="16">
        <f t="shared" si="29"/>
        <v>243</v>
      </c>
      <c r="C254" s="28" t="s">
        <v>26</v>
      </c>
      <c r="D254" s="33" t="s">
        <v>31</v>
      </c>
      <c r="E254" s="44" t="s">
        <v>29</v>
      </c>
      <c r="F254" s="43">
        <v>777</v>
      </c>
      <c r="G254" s="20" t="s">
        <v>998</v>
      </c>
      <c r="H254" s="27" t="s">
        <v>999</v>
      </c>
      <c r="I254" s="27" t="s">
        <v>28</v>
      </c>
      <c r="J254" s="29">
        <v>2025</v>
      </c>
      <c r="K254" s="23"/>
      <c r="L254" s="23">
        <v>46089</v>
      </c>
      <c r="M254" s="23">
        <f t="shared" ref="M254:M286" si="32">L254+182</f>
        <v>46271</v>
      </c>
      <c r="N254" s="24">
        <f t="shared" ca="1" si="31"/>
        <v>38</v>
      </c>
      <c r="O254" s="19" t="s">
        <v>1000</v>
      </c>
      <c r="P254" s="32" t="s">
        <v>1001</v>
      </c>
      <c r="Q254" s="18" t="s">
        <v>27</v>
      </c>
      <c r="R254" s="30" t="str">
        <f t="shared" ref="R254:R279" ca="1" si="33">IF(N254&gt;15,"Layak",IF(N254&gt;0,"Segera Lakukan Pemeriksaan","Tidak Layak"))</f>
        <v>Layak</v>
      </c>
    </row>
    <row r="255" spans="2:18">
      <c r="B255" s="16">
        <f t="shared" si="29"/>
        <v>244</v>
      </c>
      <c r="C255" s="28" t="s">
        <v>26</v>
      </c>
      <c r="D255" s="33" t="s">
        <v>31</v>
      </c>
      <c r="E255" s="44" t="s">
        <v>29</v>
      </c>
      <c r="F255" s="43">
        <v>777</v>
      </c>
      <c r="G255" s="20" t="s">
        <v>1002</v>
      </c>
      <c r="H255" s="27" t="s">
        <v>1003</v>
      </c>
      <c r="I255" s="27" t="s">
        <v>28</v>
      </c>
      <c r="J255" s="29">
        <v>2025</v>
      </c>
      <c r="K255" s="23"/>
      <c r="L255" s="23">
        <v>46089</v>
      </c>
      <c r="M255" s="23">
        <f t="shared" si="32"/>
        <v>46271</v>
      </c>
      <c r="N255" s="24">
        <f t="shared" ca="1" si="31"/>
        <v>38</v>
      </c>
      <c r="O255" s="19" t="s">
        <v>1004</v>
      </c>
      <c r="P255" s="32" t="s">
        <v>1005</v>
      </c>
      <c r="Q255" s="18" t="s">
        <v>27</v>
      </c>
      <c r="R255" s="30" t="str">
        <f t="shared" ca="1" si="33"/>
        <v>Layak</v>
      </c>
    </row>
    <row r="256" spans="2:18">
      <c r="B256" s="16">
        <f t="shared" si="29"/>
        <v>245</v>
      </c>
      <c r="C256" s="28" t="s">
        <v>26</v>
      </c>
      <c r="D256" s="33" t="s">
        <v>31</v>
      </c>
      <c r="E256" s="44" t="s">
        <v>29</v>
      </c>
      <c r="F256" s="43">
        <v>777</v>
      </c>
      <c r="G256" s="20" t="s">
        <v>1006</v>
      </c>
      <c r="H256" s="27" t="s">
        <v>1007</v>
      </c>
      <c r="I256" s="27" t="s">
        <v>28</v>
      </c>
      <c r="J256" s="29">
        <v>2022</v>
      </c>
      <c r="K256" s="23"/>
      <c r="L256" s="23">
        <v>46089</v>
      </c>
      <c r="M256" s="23">
        <f t="shared" si="32"/>
        <v>46271</v>
      </c>
      <c r="N256" s="24">
        <f t="shared" ca="1" si="31"/>
        <v>38</v>
      </c>
      <c r="O256" s="19" t="s">
        <v>1008</v>
      </c>
      <c r="P256" s="32" t="s">
        <v>1009</v>
      </c>
      <c r="Q256" s="18" t="s">
        <v>27</v>
      </c>
      <c r="R256" s="30" t="str">
        <f t="shared" ca="1" si="33"/>
        <v>Layak</v>
      </c>
    </row>
    <row r="257" spans="2:18">
      <c r="B257" s="16">
        <f t="shared" si="29"/>
        <v>246</v>
      </c>
      <c r="C257" s="28" t="s">
        <v>26</v>
      </c>
      <c r="D257" s="33" t="s">
        <v>31</v>
      </c>
      <c r="E257" s="44" t="s">
        <v>29</v>
      </c>
      <c r="F257" s="43">
        <v>777</v>
      </c>
      <c r="G257" s="20" t="s">
        <v>1010</v>
      </c>
      <c r="H257" s="27" t="s">
        <v>1011</v>
      </c>
      <c r="I257" s="27" t="s">
        <v>28</v>
      </c>
      <c r="J257" s="29">
        <v>2022</v>
      </c>
      <c r="K257" s="23"/>
      <c r="L257" s="23">
        <v>46089</v>
      </c>
      <c r="M257" s="23">
        <f t="shared" si="32"/>
        <v>46271</v>
      </c>
      <c r="N257" s="24">
        <f t="shared" ca="1" si="31"/>
        <v>38</v>
      </c>
      <c r="O257" s="19" t="s">
        <v>1012</v>
      </c>
      <c r="P257" s="32" t="s">
        <v>1013</v>
      </c>
      <c r="Q257" s="18" t="s">
        <v>27</v>
      </c>
      <c r="R257" s="30" t="str">
        <f t="shared" ca="1" si="33"/>
        <v>Layak</v>
      </c>
    </row>
    <row r="258" spans="2:18">
      <c r="B258" s="16">
        <f t="shared" si="29"/>
        <v>247</v>
      </c>
      <c r="C258" s="28" t="s">
        <v>26</v>
      </c>
      <c r="D258" s="33" t="s">
        <v>31</v>
      </c>
      <c r="E258" s="44" t="s">
        <v>29</v>
      </c>
      <c r="F258" s="43">
        <v>777</v>
      </c>
      <c r="G258" s="20" t="s">
        <v>1014</v>
      </c>
      <c r="H258" s="27" t="s">
        <v>1015</v>
      </c>
      <c r="I258" s="27" t="s">
        <v>28</v>
      </c>
      <c r="J258" s="29">
        <v>2022</v>
      </c>
      <c r="K258" s="23"/>
      <c r="L258" s="23">
        <v>46089</v>
      </c>
      <c r="M258" s="23">
        <f t="shared" si="32"/>
        <v>46271</v>
      </c>
      <c r="N258" s="24">
        <f t="shared" ca="1" si="31"/>
        <v>38</v>
      </c>
      <c r="O258" s="19" t="s">
        <v>1016</v>
      </c>
      <c r="P258" s="32" t="s">
        <v>1017</v>
      </c>
      <c r="Q258" s="18" t="s">
        <v>27</v>
      </c>
      <c r="R258" s="30" t="str">
        <f t="shared" ca="1" si="33"/>
        <v>Layak</v>
      </c>
    </row>
    <row r="259" spans="2:18">
      <c r="B259" s="16">
        <f t="shared" si="29"/>
        <v>248</v>
      </c>
      <c r="C259" s="28" t="s">
        <v>26</v>
      </c>
      <c r="D259" s="33" t="s">
        <v>31</v>
      </c>
      <c r="E259" s="44" t="s">
        <v>29</v>
      </c>
      <c r="F259" s="43">
        <v>777</v>
      </c>
      <c r="G259" s="20" t="s">
        <v>1018</v>
      </c>
      <c r="H259" s="27" t="s">
        <v>1019</v>
      </c>
      <c r="I259" s="27" t="s">
        <v>28</v>
      </c>
      <c r="J259" s="29">
        <v>2022</v>
      </c>
      <c r="K259" s="23"/>
      <c r="L259" s="23">
        <v>46089</v>
      </c>
      <c r="M259" s="23">
        <f t="shared" si="32"/>
        <v>46271</v>
      </c>
      <c r="N259" s="24">
        <f t="shared" ca="1" si="31"/>
        <v>38</v>
      </c>
      <c r="O259" s="19" t="s">
        <v>1020</v>
      </c>
      <c r="P259" s="32" t="s">
        <v>1021</v>
      </c>
      <c r="Q259" s="18" t="s">
        <v>27</v>
      </c>
      <c r="R259" s="30" t="str">
        <f t="shared" ca="1" si="33"/>
        <v>Layak</v>
      </c>
    </row>
    <row r="260" spans="2:18">
      <c r="B260" s="16">
        <f t="shared" si="29"/>
        <v>249</v>
      </c>
      <c r="C260" s="28" t="s">
        <v>26</v>
      </c>
      <c r="D260" s="33" t="s">
        <v>31</v>
      </c>
      <c r="E260" s="44" t="s">
        <v>29</v>
      </c>
      <c r="F260" s="43">
        <v>777</v>
      </c>
      <c r="G260" s="20" t="s">
        <v>1022</v>
      </c>
      <c r="H260" s="27" t="s">
        <v>1023</v>
      </c>
      <c r="I260" s="27" t="s">
        <v>28</v>
      </c>
      <c r="J260" s="29">
        <v>2022</v>
      </c>
      <c r="K260" s="23"/>
      <c r="L260" s="23">
        <v>46089</v>
      </c>
      <c r="M260" s="23">
        <f t="shared" si="32"/>
        <v>46271</v>
      </c>
      <c r="N260" s="24">
        <f t="shared" ref="N260:N286" ca="1" si="34">_xlfn.DAYS(M260,TODAY())</f>
        <v>38</v>
      </c>
      <c r="O260" s="19" t="s">
        <v>1024</v>
      </c>
      <c r="P260" s="32" t="s">
        <v>1025</v>
      </c>
      <c r="Q260" s="18" t="s">
        <v>27</v>
      </c>
      <c r="R260" s="30" t="str">
        <f t="shared" ca="1" si="33"/>
        <v>Layak</v>
      </c>
    </row>
    <row r="261" spans="2:18">
      <c r="B261" s="16">
        <f t="shared" si="29"/>
        <v>250</v>
      </c>
      <c r="C261" s="28" t="s">
        <v>26</v>
      </c>
      <c r="D261" s="33" t="s">
        <v>31</v>
      </c>
      <c r="E261" s="44" t="s">
        <v>29</v>
      </c>
      <c r="F261" s="43">
        <v>777</v>
      </c>
      <c r="G261" s="20" t="s">
        <v>1026</v>
      </c>
      <c r="H261" s="27" t="s">
        <v>1027</v>
      </c>
      <c r="I261" s="27" t="s">
        <v>28</v>
      </c>
      <c r="J261" s="29">
        <v>2022</v>
      </c>
      <c r="K261" s="23"/>
      <c r="L261" s="23">
        <v>46089</v>
      </c>
      <c r="M261" s="23">
        <f t="shared" si="32"/>
        <v>46271</v>
      </c>
      <c r="N261" s="24">
        <f t="shared" ca="1" si="34"/>
        <v>38</v>
      </c>
      <c r="O261" s="19" t="s">
        <v>1028</v>
      </c>
      <c r="P261" s="32" t="s">
        <v>1029</v>
      </c>
      <c r="Q261" s="18" t="s">
        <v>27</v>
      </c>
      <c r="R261" s="30" t="str">
        <f t="shared" ca="1" si="33"/>
        <v>Layak</v>
      </c>
    </row>
    <row r="262" spans="2:18">
      <c r="B262" s="16">
        <f t="shared" ref="B262:B286" si="35">ROW()-ROW($B$11)</f>
        <v>251</v>
      </c>
      <c r="C262" s="28" t="s">
        <v>26</v>
      </c>
      <c r="D262" s="33" t="s">
        <v>31</v>
      </c>
      <c r="E262" s="44" t="s">
        <v>29</v>
      </c>
      <c r="F262" s="43">
        <v>777</v>
      </c>
      <c r="G262" s="20" t="s">
        <v>1030</v>
      </c>
      <c r="H262" s="27" t="s">
        <v>1031</v>
      </c>
      <c r="I262" s="27" t="s">
        <v>28</v>
      </c>
      <c r="J262" s="29">
        <v>2022</v>
      </c>
      <c r="K262" s="23"/>
      <c r="L262" s="23">
        <v>46089</v>
      </c>
      <c r="M262" s="23">
        <f t="shared" si="32"/>
        <v>46271</v>
      </c>
      <c r="N262" s="24">
        <f t="shared" ca="1" si="34"/>
        <v>38</v>
      </c>
      <c r="O262" s="19" t="s">
        <v>1032</v>
      </c>
      <c r="P262" s="32" t="s">
        <v>1033</v>
      </c>
      <c r="Q262" s="18" t="s">
        <v>27</v>
      </c>
      <c r="R262" s="30" t="str">
        <f t="shared" ca="1" si="33"/>
        <v>Layak</v>
      </c>
    </row>
    <row r="263" spans="2:18">
      <c r="B263" s="16">
        <f t="shared" si="35"/>
        <v>252</v>
      </c>
      <c r="C263" s="28" t="s">
        <v>26</v>
      </c>
      <c r="D263" s="33" t="s">
        <v>31</v>
      </c>
      <c r="E263" s="44" t="s">
        <v>29</v>
      </c>
      <c r="F263" s="43">
        <v>777</v>
      </c>
      <c r="G263" s="20" t="s">
        <v>1034</v>
      </c>
      <c r="H263" s="27" t="s">
        <v>1035</v>
      </c>
      <c r="I263" s="27" t="s">
        <v>28</v>
      </c>
      <c r="J263" s="29">
        <v>2022</v>
      </c>
      <c r="K263" s="23"/>
      <c r="L263" s="23">
        <v>46089</v>
      </c>
      <c r="M263" s="23">
        <f t="shared" si="32"/>
        <v>46271</v>
      </c>
      <c r="N263" s="24">
        <f t="shared" ca="1" si="34"/>
        <v>38</v>
      </c>
      <c r="O263" s="19" t="s">
        <v>1036</v>
      </c>
      <c r="P263" s="32" t="s">
        <v>1037</v>
      </c>
      <c r="Q263" s="18" t="s">
        <v>27</v>
      </c>
      <c r="R263" s="30" t="str">
        <f t="shared" ca="1" si="33"/>
        <v>Layak</v>
      </c>
    </row>
    <row r="264" spans="2:18">
      <c r="B264" s="16">
        <f t="shared" si="35"/>
        <v>253</v>
      </c>
      <c r="C264" s="28" t="s">
        <v>26</v>
      </c>
      <c r="D264" s="33" t="s">
        <v>31</v>
      </c>
      <c r="E264" s="44" t="s">
        <v>29</v>
      </c>
      <c r="F264" s="43">
        <v>777</v>
      </c>
      <c r="G264" s="20" t="s">
        <v>1038</v>
      </c>
      <c r="H264" s="27" t="s">
        <v>1039</v>
      </c>
      <c r="I264" s="27" t="s">
        <v>28</v>
      </c>
      <c r="J264" s="29">
        <v>2022</v>
      </c>
      <c r="K264" s="23"/>
      <c r="L264" s="23">
        <v>46089</v>
      </c>
      <c r="M264" s="23">
        <f t="shared" si="32"/>
        <v>46271</v>
      </c>
      <c r="N264" s="24">
        <f t="shared" ca="1" si="34"/>
        <v>38</v>
      </c>
      <c r="O264" s="19" t="s">
        <v>1040</v>
      </c>
      <c r="P264" s="32" t="s">
        <v>1041</v>
      </c>
      <c r="Q264" s="18" t="s">
        <v>27</v>
      </c>
      <c r="R264" s="30" t="str">
        <f t="shared" ca="1" si="33"/>
        <v>Layak</v>
      </c>
    </row>
    <row r="265" spans="2:18">
      <c r="B265" s="16">
        <f t="shared" si="35"/>
        <v>254</v>
      </c>
      <c r="C265" s="28" t="s">
        <v>26</v>
      </c>
      <c r="D265" s="33" t="s">
        <v>31</v>
      </c>
      <c r="E265" s="44" t="s">
        <v>29</v>
      </c>
      <c r="F265" s="43">
        <v>777</v>
      </c>
      <c r="G265" s="20" t="s">
        <v>1042</v>
      </c>
      <c r="H265" s="27" t="s">
        <v>1043</v>
      </c>
      <c r="I265" s="27" t="s">
        <v>28</v>
      </c>
      <c r="J265" s="29">
        <v>2021</v>
      </c>
      <c r="K265" s="23"/>
      <c r="L265" s="23">
        <v>46089</v>
      </c>
      <c r="M265" s="23">
        <f t="shared" si="32"/>
        <v>46271</v>
      </c>
      <c r="N265" s="24">
        <f t="shared" ca="1" si="34"/>
        <v>38</v>
      </c>
      <c r="O265" s="19" t="s">
        <v>1044</v>
      </c>
      <c r="P265" s="32" t="s">
        <v>1045</v>
      </c>
      <c r="Q265" s="18" t="s">
        <v>27</v>
      </c>
      <c r="R265" s="30" t="str">
        <f t="shared" ca="1" si="33"/>
        <v>Layak</v>
      </c>
    </row>
    <row r="266" spans="2:18">
      <c r="B266" s="16">
        <f t="shared" si="35"/>
        <v>255</v>
      </c>
      <c r="C266" s="28" t="s">
        <v>26</v>
      </c>
      <c r="D266" s="33" t="s">
        <v>31</v>
      </c>
      <c r="E266" s="44" t="s">
        <v>29</v>
      </c>
      <c r="F266" s="43">
        <v>777</v>
      </c>
      <c r="G266" s="20" t="s">
        <v>1046</v>
      </c>
      <c r="H266" s="27" t="s">
        <v>1047</v>
      </c>
      <c r="I266" s="27" t="s">
        <v>28</v>
      </c>
      <c r="J266" s="29">
        <v>2022</v>
      </c>
      <c r="K266" s="23"/>
      <c r="L266" s="23">
        <v>46089</v>
      </c>
      <c r="M266" s="23">
        <f t="shared" si="32"/>
        <v>46271</v>
      </c>
      <c r="N266" s="24">
        <f t="shared" ca="1" si="34"/>
        <v>38</v>
      </c>
      <c r="O266" s="19" t="s">
        <v>1048</v>
      </c>
      <c r="P266" s="32" t="s">
        <v>1049</v>
      </c>
      <c r="Q266" s="18" t="s">
        <v>27</v>
      </c>
      <c r="R266" s="30" t="str">
        <f t="shared" ca="1" si="33"/>
        <v>Layak</v>
      </c>
    </row>
    <row r="267" spans="2:18">
      <c r="B267" s="16">
        <f t="shared" si="35"/>
        <v>256</v>
      </c>
      <c r="C267" s="28" t="s">
        <v>26</v>
      </c>
      <c r="D267" s="33" t="s">
        <v>31</v>
      </c>
      <c r="E267" s="44" t="s">
        <v>29</v>
      </c>
      <c r="F267" s="43">
        <v>777</v>
      </c>
      <c r="G267" s="20" t="s">
        <v>1050</v>
      </c>
      <c r="H267" s="27" t="s">
        <v>1051</v>
      </c>
      <c r="I267" s="27" t="s">
        <v>28</v>
      </c>
      <c r="J267" s="29">
        <v>2022</v>
      </c>
      <c r="K267" s="23"/>
      <c r="L267" s="23">
        <v>46089</v>
      </c>
      <c r="M267" s="23">
        <f t="shared" si="32"/>
        <v>46271</v>
      </c>
      <c r="N267" s="24">
        <f t="shared" ca="1" si="34"/>
        <v>38</v>
      </c>
      <c r="O267" s="19" t="s">
        <v>1052</v>
      </c>
      <c r="P267" s="32" t="s">
        <v>1053</v>
      </c>
      <c r="Q267" s="18" t="s">
        <v>27</v>
      </c>
      <c r="R267" s="30" t="str">
        <f t="shared" ca="1" si="33"/>
        <v>Layak</v>
      </c>
    </row>
    <row r="268" spans="2:18">
      <c r="B268" s="16">
        <f t="shared" si="35"/>
        <v>257</v>
      </c>
      <c r="C268" s="28" t="s">
        <v>26</v>
      </c>
      <c r="D268" s="33" t="s">
        <v>31</v>
      </c>
      <c r="E268" s="44" t="s">
        <v>29</v>
      </c>
      <c r="F268" s="43">
        <v>777</v>
      </c>
      <c r="G268" s="20" t="s">
        <v>1054</v>
      </c>
      <c r="H268" s="27" t="s">
        <v>1055</v>
      </c>
      <c r="I268" s="27" t="s">
        <v>28</v>
      </c>
      <c r="J268" s="29">
        <v>2022</v>
      </c>
      <c r="K268" s="23"/>
      <c r="L268" s="23">
        <v>46089</v>
      </c>
      <c r="M268" s="23">
        <f t="shared" si="32"/>
        <v>46271</v>
      </c>
      <c r="N268" s="24">
        <f t="shared" ca="1" si="34"/>
        <v>38</v>
      </c>
      <c r="O268" s="19" t="s">
        <v>1056</v>
      </c>
      <c r="P268" s="32" t="s">
        <v>1057</v>
      </c>
      <c r="Q268" s="18" t="s">
        <v>27</v>
      </c>
      <c r="R268" s="30" t="str">
        <f t="shared" ca="1" si="33"/>
        <v>Layak</v>
      </c>
    </row>
    <row r="269" spans="2:18">
      <c r="B269" s="16">
        <f t="shared" si="35"/>
        <v>258</v>
      </c>
      <c r="C269" s="28" t="s">
        <v>26</v>
      </c>
      <c r="D269" s="33" t="s">
        <v>31</v>
      </c>
      <c r="E269" s="44" t="s">
        <v>29</v>
      </c>
      <c r="F269" s="43">
        <v>777</v>
      </c>
      <c r="G269" s="20" t="s">
        <v>1058</v>
      </c>
      <c r="H269" s="27" t="s">
        <v>1059</v>
      </c>
      <c r="I269" s="27" t="s">
        <v>28</v>
      </c>
      <c r="J269" s="29">
        <v>2012</v>
      </c>
      <c r="K269" s="23"/>
      <c r="L269" s="23">
        <v>46089</v>
      </c>
      <c r="M269" s="23">
        <f t="shared" si="32"/>
        <v>46271</v>
      </c>
      <c r="N269" s="24">
        <f t="shared" ca="1" si="34"/>
        <v>38</v>
      </c>
      <c r="O269" s="19" t="s">
        <v>1060</v>
      </c>
      <c r="P269" s="32" t="s">
        <v>1061</v>
      </c>
      <c r="Q269" s="18" t="s">
        <v>27</v>
      </c>
      <c r="R269" s="30" t="str">
        <f t="shared" ca="1" si="33"/>
        <v>Layak</v>
      </c>
    </row>
    <row r="270" spans="2:18">
      <c r="B270" s="16">
        <f t="shared" si="35"/>
        <v>259</v>
      </c>
      <c r="C270" s="28" t="s">
        <v>26</v>
      </c>
      <c r="D270" s="33" t="s">
        <v>31</v>
      </c>
      <c r="E270" s="44" t="s">
        <v>29</v>
      </c>
      <c r="F270" s="43">
        <v>777</v>
      </c>
      <c r="G270" s="20" t="s">
        <v>1062</v>
      </c>
      <c r="H270" s="27" t="s">
        <v>1063</v>
      </c>
      <c r="I270" s="27" t="s">
        <v>28</v>
      </c>
      <c r="J270" s="29">
        <v>2013</v>
      </c>
      <c r="K270" s="23"/>
      <c r="L270" s="23">
        <v>46089</v>
      </c>
      <c r="M270" s="23">
        <f t="shared" si="32"/>
        <v>46271</v>
      </c>
      <c r="N270" s="24">
        <f t="shared" ca="1" si="34"/>
        <v>38</v>
      </c>
      <c r="O270" s="19" t="s">
        <v>1064</v>
      </c>
      <c r="P270" s="32" t="s">
        <v>1065</v>
      </c>
      <c r="Q270" s="18" t="s">
        <v>27</v>
      </c>
      <c r="R270" s="30" t="str">
        <f t="shared" ca="1" si="33"/>
        <v>Layak</v>
      </c>
    </row>
    <row r="271" spans="2:18">
      <c r="B271" s="16">
        <f t="shared" si="35"/>
        <v>260</v>
      </c>
      <c r="C271" s="28" t="s">
        <v>26</v>
      </c>
      <c r="D271" s="33" t="s">
        <v>31</v>
      </c>
      <c r="E271" s="44" t="s">
        <v>29</v>
      </c>
      <c r="F271" s="43">
        <v>777</v>
      </c>
      <c r="G271" s="20" t="s">
        <v>1066</v>
      </c>
      <c r="H271" s="27" t="s">
        <v>1067</v>
      </c>
      <c r="I271" s="27" t="s">
        <v>28</v>
      </c>
      <c r="J271" s="29">
        <v>2022</v>
      </c>
      <c r="K271" s="23"/>
      <c r="L271" s="23">
        <v>46089</v>
      </c>
      <c r="M271" s="23">
        <f t="shared" si="32"/>
        <v>46271</v>
      </c>
      <c r="N271" s="24">
        <f t="shared" ca="1" si="34"/>
        <v>38</v>
      </c>
      <c r="O271" s="19" t="s">
        <v>1068</v>
      </c>
      <c r="P271" s="32" t="s">
        <v>1069</v>
      </c>
      <c r="Q271" s="18" t="s">
        <v>27</v>
      </c>
      <c r="R271" s="30" t="str">
        <f t="shared" ca="1" si="33"/>
        <v>Layak</v>
      </c>
    </row>
    <row r="272" spans="2:18">
      <c r="B272" s="16">
        <f t="shared" si="35"/>
        <v>261</v>
      </c>
      <c r="C272" s="28" t="s">
        <v>26</v>
      </c>
      <c r="D272" s="33" t="s">
        <v>31</v>
      </c>
      <c r="E272" s="44" t="s">
        <v>29</v>
      </c>
      <c r="F272" s="43">
        <v>777</v>
      </c>
      <c r="G272" s="20" t="s">
        <v>1070</v>
      </c>
      <c r="H272" s="27" t="s">
        <v>1071</v>
      </c>
      <c r="I272" s="27" t="s">
        <v>28</v>
      </c>
      <c r="J272" s="29">
        <v>2023</v>
      </c>
      <c r="K272" s="23"/>
      <c r="L272" s="23">
        <v>46089</v>
      </c>
      <c r="M272" s="23">
        <f t="shared" si="32"/>
        <v>46271</v>
      </c>
      <c r="N272" s="24">
        <f t="shared" ca="1" si="34"/>
        <v>38</v>
      </c>
      <c r="O272" s="19" t="s">
        <v>1072</v>
      </c>
      <c r="P272" s="32" t="s">
        <v>1073</v>
      </c>
      <c r="Q272" s="18" t="s">
        <v>27</v>
      </c>
      <c r="R272" s="30" t="str">
        <f t="shared" ca="1" si="33"/>
        <v>Layak</v>
      </c>
    </row>
    <row r="273" spans="2:18">
      <c r="B273" s="16">
        <f t="shared" si="35"/>
        <v>262</v>
      </c>
      <c r="C273" s="28" t="s">
        <v>26</v>
      </c>
      <c r="D273" s="33" t="s">
        <v>31</v>
      </c>
      <c r="E273" s="44" t="s">
        <v>29</v>
      </c>
      <c r="F273" s="43">
        <v>777</v>
      </c>
      <c r="G273" s="20" t="s">
        <v>1074</v>
      </c>
      <c r="H273" s="27" t="s">
        <v>1075</v>
      </c>
      <c r="I273" s="27" t="s">
        <v>28</v>
      </c>
      <c r="J273" s="29">
        <v>2022</v>
      </c>
      <c r="K273" s="23"/>
      <c r="L273" s="23">
        <v>46089</v>
      </c>
      <c r="M273" s="23">
        <f t="shared" si="32"/>
        <v>46271</v>
      </c>
      <c r="N273" s="24">
        <f t="shared" ca="1" si="34"/>
        <v>38</v>
      </c>
      <c r="O273" s="19" t="s">
        <v>1068</v>
      </c>
      <c r="P273" s="32" t="s">
        <v>1076</v>
      </c>
      <c r="Q273" s="18" t="s">
        <v>27</v>
      </c>
      <c r="R273" s="30" t="str">
        <f t="shared" ca="1" si="33"/>
        <v>Layak</v>
      </c>
    </row>
    <row r="274" spans="2:18">
      <c r="B274" s="16">
        <f t="shared" si="35"/>
        <v>263</v>
      </c>
      <c r="C274" s="28" t="s">
        <v>26</v>
      </c>
      <c r="D274" s="33" t="s">
        <v>31</v>
      </c>
      <c r="E274" s="44" t="s">
        <v>29</v>
      </c>
      <c r="F274" s="43">
        <v>777</v>
      </c>
      <c r="G274" s="20" t="s">
        <v>1077</v>
      </c>
      <c r="H274" s="27" t="s">
        <v>1078</v>
      </c>
      <c r="I274" s="27" t="s">
        <v>28</v>
      </c>
      <c r="J274" s="29">
        <v>2022</v>
      </c>
      <c r="K274" s="23"/>
      <c r="L274" s="23">
        <v>46089</v>
      </c>
      <c r="M274" s="23">
        <f t="shared" si="32"/>
        <v>46271</v>
      </c>
      <c r="N274" s="24">
        <f t="shared" ca="1" si="34"/>
        <v>38</v>
      </c>
      <c r="O274" s="19" t="s">
        <v>1079</v>
      </c>
      <c r="P274" s="32" t="s">
        <v>1080</v>
      </c>
      <c r="Q274" s="18" t="s">
        <v>27</v>
      </c>
      <c r="R274" s="30" t="str">
        <f t="shared" ca="1" si="33"/>
        <v>Layak</v>
      </c>
    </row>
    <row r="275" spans="2:18">
      <c r="B275" s="16">
        <f t="shared" si="35"/>
        <v>264</v>
      </c>
      <c r="C275" s="28" t="s">
        <v>26</v>
      </c>
      <c r="D275" s="33" t="s">
        <v>31</v>
      </c>
      <c r="E275" s="44" t="s">
        <v>29</v>
      </c>
      <c r="F275" s="43">
        <v>777</v>
      </c>
      <c r="G275" s="20" t="s">
        <v>1081</v>
      </c>
      <c r="H275" s="27" t="s">
        <v>1082</v>
      </c>
      <c r="I275" s="27" t="s">
        <v>28</v>
      </c>
      <c r="J275" s="29">
        <v>2022</v>
      </c>
      <c r="K275" s="23"/>
      <c r="L275" s="23">
        <v>46089</v>
      </c>
      <c r="M275" s="23">
        <f t="shared" si="32"/>
        <v>46271</v>
      </c>
      <c r="N275" s="24">
        <f t="shared" ca="1" si="34"/>
        <v>38</v>
      </c>
      <c r="O275" s="19" t="s">
        <v>1083</v>
      </c>
      <c r="P275" s="32" t="s">
        <v>1084</v>
      </c>
      <c r="Q275" s="18" t="s">
        <v>27</v>
      </c>
      <c r="R275" s="30" t="str">
        <f t="shared" ca="1" si="33"/>
        <v>Layak</v>
      </c>
    </row>
    <row r="276" spans="2:18">
      <c r="B276" s="16">
        <f t="shared" si="35"/>
        <v>265</v>
      </c>
      <c r="C276" s="28" t="s">
        <v>26</v>
      </c>
      <c r="D276" s="33" t="s">
        <v>31</v>
      </c>
      <c r="E276" s="44" t="s">
        <v>29</v>
      </c>
      <c r="F276" s="43">
        <v>777</v>
      </c>
      <c r="G276" s="20" t="s">
        <v>1085</v>
      </c>
      <c r="H276" s="27" t="s">
        <v>1086</v>
      </c>
      <c r="I276" s="27" t="s">
        <v>28</v>
      </c>
      <c r="J276" s="29">
        <v>2022</v>
      </c>
      <c r="K276" s="23"/>
      <c r="L276" s="23">
        <v>46089</v>
      </c>
      <c r="M276" s="23">
        <f t="shared" si="32"/>
        <v>46271</v>
      </c>
      <c r="N276" s="24">
        <f t="shared" ca="1" si="34"/>
        <v>38</v>
      </c>
      <c r="O276" s="19" t="s">
        <v>1087</v>
      </c>
      <c r="P276" s="32" t="s">
        <v>1088</v>
      </c>
      <c r="Q276" s="18" t="s">
        <v>27</v>
      </c>
      <c r="R276" s="30" t="str">
        <f t="shared" ca="1" si="33"/>
        <v>Layak</v>
      </c>
    </row>
    <row r="277" spans="2:18">
      <c r="B277" s="16">
        <f t="shared" si="35"/>
        <v>266</v>
      </c>
      <c r="C277" s="28" t="s">
        <v>26</v>
      </c>
      <c r="D277" s="33" t="s">
        <v>31</v>
      </c>
      <c r="E277" s="44" t="s">
        <v>29</v>
      </c>
      <c r="F277" s="43">
        <v>777</v>
      </c>
      <c r="G277" s="20" t="s">
        <v>1089</v>
      </c>
      <c r="H277" s="27" t="s">
        <v>1090</v>
      </c>
      <c r="I277" s="27" t="s">
        <v>28</v>
      </c>
      <c r="J277" s="29">
        <v>2022</v>
      </c>
      <c r="K277" s="23"/>
      <c r="L277" s="23">
        <v>46089</v>
      </c>
      <c r="M277" s="23">
        <f t="shared" si="32"/>
        <v>46271</v>
      </c>
      <c r="N277" s="24">
        <f t="shared" ca="1" si="34"/>
        <v>38</v>
      </c>
      <c r="O277" s="19" t="s">
        <v>1091</v>
      </c>
      <c r="P277" s="32" t="s">
        <v>1092</v>
      </c>
      <c r="Q277" s="18" t="s">
        <v>27</v>
      </c>
      <c r="R277" s="30" t="str">
        <f t="shared" ca="1" si="33"/>
        <v>Layak</v>
      </c>
    </row>
    <row r="278" spans="2:18">
      <c r="B278" s="16">
        <f t="shared" si="35"/>
        <v>267</v>
      </c>
      <c r="C278" s="28" t="s">
        <v>26</v>
      </c>
      <c r="D278" s="33" t="s">
        <v>31</v>
      </c>
      <c r="E278" s="44" t="s">
        <v>29</v>
      </c>
      <c r="F278" s="43">
        <v>777</v>
      </c>
      <c r="G278" s="20" t="s">
        <v>1093</v>
      </c>
      <c r="H278" s="27" t="s">
        <v>1094</v>
      </c>
      <c r="I278" s="27" t="s">
        <v>28</v>
      </c>
      <c r="J278" s="29">
        <v>2011</v>
      </c>
      <c r="K278" s="23"/>
      <c r="L278" s="23">
        <v>46089</v>
      </c>
      <c r="M278" s="23">
        <f t="shared" si="32"/>
        <v>46271</v>
      </c>
      <c r="N278" s="24">
        <f t="shared" ca="1" si="34"/>
        <v>38</v>
      </c>
      <c r="O278" s="19" t="s">
        <v>1095</v>
      </c>
      <c r="P278" s="32" t="s">
        <v>1096</v>
      </c>
      <c r="Q278" s="18" t="s">
        <v>27</v>
      </c>
      <c r="R278" s="30" t="str">
        <f t="shared" ca="1" si="33"/>
        <v>Layak</v>
      </c>
    </row>
    <row r="279" spans="2:18">
      <c r="B279" s="16">
        <f t="shared" si="35"/>
        <v>268</v>
      </c>
      <c r="C279" s="28" t="s">
        <v>26</v>
      </c>
      <c r="D279" s="33" t="s">
        <v>31</v>
      </c>
      <c r="E279" s="44" t="s">
        <v>29</v>
      </c>
      <c r="F279" s="43">
        <v>777</v>
      </c>
      <c r="G279" s="20" t="s">
        <v>1097</v>
      </c>
      <c r="H279" s="27" t="s">
        <v>1098</v>
      </c>
      <c r="I279" s="27" t="s">
        <v>28</v>
      </c>
      <c r="J279" s="29">
        <v>2022</v>
      </c>
      <c r="K279" s="23"/>
      <c r="L279" s="23">
        <v>46089</v>
      </c>
      <c r="M279" s="23">
        <f t="shared" si="32"/>
        <v>46271</v>
      </c>
      <c r="N279" s="24">
        <f t="shared" ca="1" si="34"/>
        <v>38</v>
      </c>
      <c r="O279" s="19" t="s">
        <v>1099</v>
      </c>
      <c r="P279" s="32" t="s">
        <v>1100</v>
      </c>
      <c r="Q279" s="18" t="s">
        <v>27</v>
      </c>
      <c r="R279" s="30" t="str">
        <f t="shared" ca="1" si="33"/>
        <v>Layak</v>
      </c>
    </row>
    <row r="280" spans="2:18">
      <c r="B280" s="16">
        <f t="shared" si="35"/>
        <v>269</v>
      </c>
      <c r="C280" s="28" t="s">
        <v>26</v>
      </c>
      <c r="D280" s="33" t="s">
        <v>31</v>
      </c>
      <c r="E280" s="44" t="s">
        <v>29</v>
      </c>
      <c r="F280" s="43">
        <v>777</v>
      </c>
      <c r="G280" s="20" t="s">
        <v>1101</v>
      </c>
      <c r="H280" s="27" t="s">
        <v>1102</v>
      </c>
      <c r="I280" s="27" t="s">
        <v>28</v>
      </c>
      <c r="J280" s="29">
        <v>2022</v>
      </c>
      <c r="K280" s="23"/>
      <c r="L280" s="23">
        <v>46089</v>
      </c>
      <c r="M280" s="23">
        <f t="shared" si="32"/>
        <v>46271</v>
      </c>
      <c r="N280" s="24">
        <f t="shared" ca="1" si="34"/>
        <v>38</v>
      </c>
      <c r="O280" s="19" t="s">
        <v>1103</v>
      </c>
      <c r="P280" s="32" t="s">
        <v>1104</v>
      </c>
      <c r="Q280" s="18" t="s">
        <v>27</v>
      </c>
      <c r="R280" s="30" t="str">
        <f t="shared" ref="R280:R286" ca="1" si="36">IF(N280&gt;15,"Layak",IF(N280&gt;0,"Segera Lakukan Pemeriksaan","Tidak Layak"))</f>
        <v>Layak</v>
      </c>
    </row>
    <row r="281" spans="2:18">
      <c r="B281" s="16">
        <f t="shared" si="35"/>
        <v>270</v>
      </c>
      <c r="C281" s="28" t="s">
        <v>26</v>
      </c>
      <c r="D281" s="33" t="s">
        <v>31</v>
      </c>
      <c r="E281" s="44" t="s">
        <v>29</v>
      </c>
      <c r="F281" s="43">
        <v>777</v>
      </c>
      <c r="G281" s="20" t="s">
        <v>1105</v>
      </c>
      <c r="H281" s="27" t="s">
        <v>1106</v>
      </c>
      <c r="I281" s="27" t="s">
        <v>28</v>
      </c>
      <c r="J281" s="29">
        <v>2023</v>
      </c>
      <c r="K281" s="23"/>
      <c r="L281" s="23">
        <v>46089</v>
      </c>
      <c r="M281" s="23">
        <f t="shared" si="32"/>
        <v>46271</v>
      </c>
      <c r="N281" s="24">
        <f t="shared" ca="1" si="34"/>
        <v>38</v>
      </c>
      <c r="O281" s="19" t="s">
        <v>1107</v>
      </c>
      <c r="P281" s="32" t="s">
        <v>1108</v>
      </c>
      <c r="Q281" s="18" t="s">
        <v>27</v>
      </c>
      <c r="R281" s="30" t="str">
        <f t="shared" ca="1" si="36"/>
        <v>Layak</v>
      </c>
    </row>
    <row r="282" spans="2:18">
      <c r="B282" s="16">
        <f t="shared" si="35"/>
        <v>271</v>
      </c>
      <c r="C282" s="28" t="s">
        <v>26</v>
      </c>
      <c r="D282" s="33" t="s">
        <v>31</v>
      </c>
      <c r="E282" s="44" t="s">
        <v>29</v>
      </c>
      <c r="F282" s="43">
        <v>777</v>
      </c>
      <c r="G282" s="20" t="s">
        <v>1109</v>
      </c>
      <c r="H282" s="27" t="s">
        <v>1110</v>
      </c>
      <c r="I282" s="27" t="s">
        <v>28</v>
      </c>
      <c r="J282" s="29">
        <v>2022</v>
      </c>
      <c r="K282" s="23"/>
      <c r="L282" s="23">
        <v>46089</v>
      </c>
      <c r="M282" s="23">
        <f t="shared" si="32"/>
        <v>46271</v>
      </c>
      <c r="N282" s="24">
        <f t="shared" ca="1" si="34"/>
        <v>38</v>
      </c>
      <c r="O282" s="19" t="s">
        <v>1111</v>
      </c>
      <c r="P282" s="32" t="s">
        <v>1112</v>
      </c>
      <c r="Q282" s="18" t="s">
        <v>27</v>
      </c>
      <c r="R282" s="30" t="str">
        <f t="shared" ca="1" si="36"/>
        <v>Layak</v>
      </c>
    </row>
    <row r="283" spans="2:18">
      <c r="B283" s="16">
        <f t="shared" si="35"/>
        <v>272</v>
      </c>
      <c r="C283" s="28" t="s">
        <v>26</v>
      </c>
      <c r="D283" s="33" t="s">
        <v>31</v>
      </c>
      <c r="E283" s="44" t="s">
        <v>29</v>
      </c>
      <c r="F283" s="43">
        <v>777</v>
      </c>
      <c r="G283" s="20" t="s">
        <v>1113</v>
      </c>
      <c r="H283" s="27" t="s">
        <v>1114</v>
      </c>
      <c r="I283" s="27" t="s">
        <v>28</v>
      </c>
      <c r="J283" s="29">
        <v>2023</v>
      </c>
      <c r="K283" s="23"/>
      <c r="L283" s="23">
        <v>46089</v>
      </c>
      <c r="M283" s="23">
        <f t="shared" si="32"/>
        <v>46271</v>
      </c>
      <c r="N283" s="24">
        <f t="shared" ca="1" si="34"/>
        <v>38</v>
      </c>
      <c r="O283" s="19" t="s">
        <v>1115</v>
      </c>
      <c r="P283" s="32" t="s">
        <v>1116</v>
      </c>
      <c r="Q283" s="18" t="s">
        <v>27</v>
      </c>
      <c r="R283" s="30" t="str">
        <f t="shared" ca="1" si="36"/>
        <v>Layak</v>
      </c>
    </row>
    <row r="284" spans="2:18">
      <c r="B284" s="16">
        <f t="shared" si="35"/>
        <v>273</v>
      </c>
      <c r="C284" s="28" t="s">
        <v>26</v>
      </c>
      <c r="D284" s="33" t="s">
        <v>31</v>
      </c>
      <c r="E284" s="44" t="s">
        <v>29</v>
      </c>
      <c r="F284" s="43">
        <v>777</v>
      </c>
      <c r="G284" s="20" t="s">
        <v>1117</v>
      </c>
      <c r="H284" s="27" t="s">
        <v>1118</v>
      </c>
      <c r="I284" s="27" t="s">
        <v>28</v>
      </c>
      <c r="J284" s="29">
        <v>2021</v>
      </c>
      <c r="K284" s="23"/>
      <c r="L284" s="23">
        <v>46089</v>
      </c>
      <c r="M284" s="23">
        <f t="shared" si="32"/>
        <v>46271</v>
      </c>
      <c r="N284" s="24">
        <f t="shared" ca="1" si="34"/>
        <v>38</v>
      </c>
      <c r="O284" s="19" t="s">
        <v>1119</v>
      </c>
      <c r="P284" s="32" t="s">
        <v>1120</v>
      </c>
      <c r="Q284" s="18" t="s">
        <v>27</v>
      </c>
      <c r="R284" s="30" t="str">
        <f t="shared" ca="1" si="36"/>
        <v>Layak</v>
      </c>
    </row>
    <row r="285" spans="2:18">
      <c r="B285" s="16">
        <f t="shared" si="35"/>
        <v>274</v>
      </c>
      <c r="C285" s="28" t="s">
        <v>26</v>
      </c>
      <c r="D285" s="33" t="s">
        <v>31</v>
      </c>
      <c r="E285" s="44" t="s">
        <v>29</v>
      </c>
      <c r="F285" s="43">
        <v>777</v>
      </c>
      <c r="G285" s="20" t="s">
        <v>1121</v>
      </c>
      <c r="H285" s="27" t="s">
        <v>1122</v>
      </c>
      <c r="I285" s="27" t="s">
        <v>28</v>
      </c>
      <c r="J285" s="29">
        <v>2021</v>
      </c>
      <c r="K285" s="23"/>
      <c r="L285" s="23">
        <v>46089</v>
      </c>
      <c r="M285" s="23">
        <f t="shared" si="32"/>
        <v>46271</v>
      </c>
      <c r="N285" s="24">
        <f t="shared" ca="1" si="34"/>
        <v>38</v>
      </c>
      <c r="O285" s="19" t="s">
        <v>1123</v>
      </c>
      <c r="P285" s="32" t="s">
        <v>1124</v>
      </c>
      <c r="Q285" s="18" t="s">
        <v>27</v>
      </c>
      <c r="R285" s="30" t="str">
        <f t="shared" ca="1" si="36"/>
        <v>Layak</v>
      </c>
    </row>
    <row r="286" spans="2:18">
      <c r="B286" s="16">
        <f t="shared" si="35"/>
        <v>275</v>
      </c>
      <c r="C286" s="28" t="s">
        <v>26</v>
      </c>
      <c r="D286" s="33" t="s">
        <v>31</v>
      </c>
      <c r="E286" s="44" t="s">
        <v>29</v>
      </c>
      <c r="F286" s="43">
        <v>777</v>
      </c>
      <c r="G286" s="20" t="s">
        <v>1125</v>
      </c>
      <c r="H286" s="27" t="s">
        <v>1126</v>
      </c>
      <c r="I286" s="27" t="s">
        <v>28</v>
      </c>
      <c r="J286" s="29">
        <v>2023</v>
      </c>
      <c r="K286" s="23"/>
      <c r="L286" s="23">
        <v>46089</v>
      </c>
      <c r="M286" s="23">
        <f t="shared" si="32"/>
        <v>46271</v>
      </c>
      <c r="N286" s="24">
        <f t="shared" ca="1" si="34"/>
        <v>38</v>
      </c>
      <c r="O286" s="19" t="s">
        <v>1127</v>
      </c>
      <c r="P286" s="32" t="s">
        <v>1128</v>
      </c>
      <c r="Q286" s="18" t="s">
        <v>27</v>
      </c>
      <c r="R286" s="30" t="str">
        <f t="shared" ca="1" si="36"/>
        <v>Layak</v>
      </c>
    </row>
    <row r="287" spans="2:18">
      <c r="B287" s="16">
        <f t="shared" ref="B287" si="37">ROW()-ROW($B$11)</f>
        <v>276</v>
      </c>
      <c r="C287" s="28" t="s">
        <v>26</v>
      </c>
      <c r="D287" s="16" t="s">
        <v>301</v>
      </c>
      <c r="E287" s="28" t="s">
        <v>29</v>
      </c>
      <c r="F287" s="28">
        <v>775</v>
      </c>
      <c r="G287" s="45" t="str">
        <f>TEXT(ROW(G408),"000")&amp;"/TIA-CK BIB/VII/2026"</f>
        <v>408/TIA-CK BIB/VII/2026</v>
      </c>
      <c r="H287" s="28" t="s">
        <v>1129</v>
      </c>
      <c r="I287" s="28" t="s">
        <v>28</v>
      </c>
      <c r="J287" s="28">
        <v>2022</v>
      </c>
      <c r="K287" s="28"/>
      <c r="L287" s="23">
        <v>46224</v>
      </c>
      <c r="M287" s="23">
        <f t="shared" ref="M287" si="38">L287+182</f>
        <v>46406</v>
      </c>
      <c r="N287" s="24">
        <f t="shared" ref="N287" ca="1" si="39">_xlfn.DAYS(M287,TODAY())</f>
        <v>173</v>
      </c>
      <c r="O287" s="28" t="s">
        <v>1130</v>
      </c>
      <c r="P287" s="28" t="s">
        <v>1131</v>
      </c>
      <c r="Q287" s="18" t="s">
        <v>27</v>
      </c>
      <c r="R287" s="30" t="str">
        <f t="shared" ref="R287" ca="1" si="40">IF(N287&gt;15,"Layak",IF(N287&gt;0,"Segera Lakukan Pemeriksaan","Tidak Layak"))</f>
        <v>Layak</v>
      </c>
    </row>
  </sheetData>
  <autoFilter ref="B9:R287" xr:uid="{812B3412-F9E0-452E-89C6-7FD2799626BA}">
    <filterColumn colId="10">
      <filters>
        <filter val="Pemeriksaan"/>
        <dateGroupItem year="2026" dateTimeGrouping="year"/>
      </filters>
    </filterColumn>
    <filterColumn colId="13" showButton="0"/>
  </autoFilter>
  <mergeCells count="20">
    <mergeCell ref="B2:C5"/>
    <mergeCell ref="D2:P3"/>
    <mergeCell ref="Q2:Q5"/>
    <mergeCell ref="D4:P5"/>
    <mergeCell ref="B9:B10"/>
    <mergeCell ref="C9:C10"/>
    <mergeCell ref="D9:D10"/>
    <mergeCell ref="E9:E10"/>
    <mergeCell ref="F9:F10"/>
    <mergeCell ref="G9:G10"/>
    <mergeCell ref="N9:N10"/>
    <mergeCell ref="O9:P9"/>
    <mergeCell ref="Q9:Q10"/>
    <mergeCell ref="R9:R10"/>
    <mergeCell ref="H9:H10"/>
    <mergeCell ref="I9:I10"/>
    <mergeCell ref="J9:J10"/>
    <mergeCell ref="K9:K10"/>
    <mergeCell ref="L9:L10"/>
    <mergeCell ref="M9:M10"/>
  </mergeCells>
  <conditionalFormatting sqref="H288:H1048576 H1:H286"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9"/>
  </conditionalFormatting>
  <conditionalFormatting sqref="N287">
    <cfRule type="colorScale" priority="147">
      <colorScale>
        <cfvo type="num" val="0"/>
        <cfvo type="num" val="1"/>
        <cfvo type="num" val="16"/>
        <color rgb="FFFF0000"/>
        <color rgb="FFFFFF00"/>
        <color rgb="FF92D050"/>
      </colorScale>
    </cfRule>
    <cfRule type="iconSet" priority="148">
      <iconSet iconSet="3Symbols">
        <cfvo type="percent" val="0"/>
        <cfvo type="num" val="1"/>
        <cfvo type="num" val="16"/>
      </iconSet>
    </cfRule>
  </conditionalFormatting>
  <conditionalFormatting sqref="N9:N286">
    <cfRule type="colorScale" priority="161">
      <colorScale>
        <cfvo type="num" val="0"/>
        <cfvo type="num" val="1"/>
        <cfvo type="num" val="16"/>
        <color rgb="FFFF0000"/>
        <color rgb="FFFFFF00"/>
        <color rgb="FF92D050"/>
      </colorScale>
    </cfRule>
    <cfRule type="iconSet" priority="162">
      <iconSet iconSet="3Symbols">
        <cfvo type="percent" val="0"/>
        <cfvo type="num" val="1"/>
        <cfvo type="num" val="16"/>
      </iconSet>
    </cfRule>
  </conditionalFormatting>
  <printOptions horizontalCentered="1"/>
  <pageMargins left="0" right="0" top="0.25" bottom="0.25" header="0.3" footer="0.3"/>
  <pageSetup paperSize="9" scale="55" orientation="landscape" r:id="rId1"/>
  <headerFooter>
    <oddFooter>&amp;LNo. Form : TIA-FM-HSE-32_02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16</xdr:col>
                <xdr:colOff>342900</xdr:colOff>
                <xdr:row>1</xdr:row>
                <xdr:rowOff>0</xdr:rowOff>
              </from>
              <to>
                <xdr:col>16</xdr:col>
                <xdr:colOff>1371600</xdr:colOff>
                <xdr:row>1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 - BIB</vt:lpstr>
      <vt:lpstr>'CK - BIB'!Print_Area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Ardian Prismana</dc:creator>
  <cp:lastModifiedBy>Anas Aditya Wahana</cp:lastModifiedBy>
  <dcterms:created xsi:type="dcterms:W3CDTF">2026-07-27T07:05:29Z</dcterms:created>
  <dcterms:modified xsi:type="dcterms:W3CDTF">2026-07-30T06:20:57Z</dcterms:modified>
</cp:coreProperties>
</file>